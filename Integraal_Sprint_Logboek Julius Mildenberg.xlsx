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0"/>
  <workbookPr/>
  <mc:AlternateContent xmlns:mc="http://schemas.openxmlformats.org/markup-compatibility/2006">
    <mc:Choice Requires="x15">
      <x15ac:absPath xmlns:x15ac="http://schemas.microsoft.com/office/spreadsheetml/2010/11/ac" url="/Users/juliusmildenberg/Desktop/"/>
    </mc:Choice>
  </mc:AlternateContent>
  <xr:revisionPtr revIDLastSave="0" documentId="8_{538AC20C-BAC8-904B-BF1D-7FAE81E71301}" xr6:coauthVersionLast="47" xr6:coauthVersionMax="47" xr10:uidLastSave="{00000000-0000-0000-0000-000000000000}"/>
  <bookViews>
    <workbookView xWindow="0" yWindow="600" windowWidth="28800" windowHeight="15900" tabRatio="500" activeTab="1" xr2:uid="{00000000-000D-0000-FFFF-FFFF00000000}"/>
  </bookViews>
  <sheets>
    <sheet name="Dashboard" sheetId="1" r:id="rId1"/>
    <sheet name="Logboek" sheetId="2" r:id="rId2"/>
    <sheet name="Lijsten" sheetId="3" state="hidden" r:id="rId3"/>
  </sheets>
  <definedNames>
    <definedName name="_xlnm.Print_Area" localSheetId="1">Logboek!$A:$D</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7" i="1" l="1"/>
  <c r="K6" i="1"/>
  <c r="J6" i="1"/>
  <c r="I6" i="1"/>
  <c r="H6" i="1"/>
  <c r="G6" i="1"/>
  <c r="F6" i="1"/>
  <c r="E6" i="1"/>
  <c r="D6" i="1"/>
  <c r="K5" i="1"/>
  <c r="J5" i="1"/>
  <c r="I5" i="1"/>
  <c r="H5" i="1"/>
  <c r="G5" i="1"/>
  <c r="F5" i="1"/>
  <c r="E5" i="1"/>
  <c r="D5" i="1"/>
  <c r="K4" i="1"/>
  <c r="J4" i="1"/>
  <c r="I4" i="1"/>
  <c r="H4" i="1"/>
  <c r="G4" i="1"/>
  <c r="F4" i="1"/>
  <c r="E4" i="1"/>
  <c r="D4" i="1"/>
  <c r="K3" i="1"/>
  <c r="J3" i="1"/>
  <c r="I3" i="1"/>
  <c r="H3" i="1"/>
  <c r="G3" i="1"/>
  <c r="F3" i="1"/>
  <c r="E3" i="1"/>
  <c r="D3" i="1"/>
  <c r="K2" i="1"/>
  <c r="J2" i="1"/>
  <c r="J7" i="1" s="1"/>
  <c r="I2" i="1"/>
  <c r="H2" i="1"/>
  <c r="H7" i="1" s="1"/>
  <c r="G2" i="1"/>
  <c r="F2" i="1"/>
  <c r="E2" i="1"/>
  <c r="D2" i="1"/>
  <c r="G7" i="1" l="1"/>
  <c r="C3" i="1"/>
  <c r="D7" i="1"/>
  <c r="F7" i="1"/>
  <c r="C6" i="1"/>
  <c r="C4" i="1"/>
  <c r="K7" i="1"/>
  <c r="C2" i="1"/>
  <c r="C5" i="1"/>
  <c r="E7" i="1"/>
  <c r="I7" i="1"/>
  <c r="C7" i="1" l="1"/>
</calcChain>
</file>

<file path=xl/sharedStrings.xml><?xml version="1.0" encoding="utf-8"?>
<sst xmlns="http://schemas.openxmlformats.org/spreadsheetml/2006/main" count="438" uniqueCount="84">
  <si>
    <t>LU</t>
  </si>
  <si>
    <t>Doel</t>
  </si>
  <si>
    <t>Behaald</t>
  </si>
  <si>
    <t>Sprint 1</t>
  </si>
  <si>
    <t>Sprint 2</t>
  </si>
  <si>
    <t>Sprint 3</t>
  </si>
  <si>
    <t>Sprint 4</t>
  </si>
  <si>
    <t>Sprint 5</t>
  </si>
  <si>
    <t>Sprint 6</t>
  </si>
  <si>
    <t>Sprint 7</t>
  </si>
  <si>
    <t>Sprint 8</t>
  </si>
  <si>
    <t>LU 1: Impact</t>
  </si>
  <si>
    <t>LU 2: Oplossing</t>
  </si>
  <si>
    <t>LU 3: Ethiek</t>
  </si>
  <si>
    <t>LU 4: Tools</t>
  </si>
  <si>
    <t>LU 5: Zelfsturing</t>
  </si>
  <si>
    <t>Totaal</t>
  </si>
  <si>
    <t>SPRINT 1</t>
  </si>
  <si>
    <t>1. PLANNING (User Stories)</t>
  </si>
  <si>
    <t>Story</t>
  </si>
  <si>
    <t>Story Omschrijving</t>
  </si>
  <si>
    <t>Acceptatie Criteria</t>
  </si>
  <si>
    <t>Kwaliteitscriteria</t>
  </si>
  <si>
    <t>US</t>
  </si>
  <si>
    <t xml:space="preserve">1. 
2. 
3. </t>
  </si>
  <si>
    <t>Als &lt; &gt; ,wil ik &lt; &gt; ,zodat &lt; &gt;</t>
  </si>
  <si>
    <t>2. FEEDBACK (Ontvangen van anderen)</t>
  </si>
  <si>
    <t>Datum</t>
  </si>
  <si>
    <t>Van wie</t>
  </si>
  <si>
    <t>Feedback</t>
  </si>
  <si>
    <t>Jouw actie</t>
  </si>
  <si>
    <t>3. ZELFEVALUATIE (Mastery)</t>
  </si>
  <si>
    <t>Leeruitkomst</t>
  </si>
  <si>
    <t>Niveau</t>
  </si>
  <si>
    <t>Argumentatie en bewijs</t>
  </si>
  <si>
    <t>LU 1</t>
  </si>
  <si>
    <t>AI-impact op de beroepspraktijk analyseren en evalueren</t>
  </si>
  <si>
    <t>-</t>
  </si>
  <si>
    <t>LU 2</t>
  </si>
  <si>
    <t>Praktijkgerichte AI oplossing ontwerpen, realiseren en presenteren</t>
  </si>
  <si>
    <t>LU 3</t>
  </si>
  <si>
    <t>Ethiek en verantwoordelijk AI-gebruik beoordelen</t>
  </si>
  <si>
    <t>LU 4</t>
  </si>
  <si>
    <t>AI Tools en technieken gebruiken</t>
  </si>
  <si>
    <t>LU 5</t>
  </si>
  <si>
    <t>Zelfstandig en zelfsturend werken</t>
  </si>
  <si>
    <t>4. REFLECTIE</t>
  </si>
  <si>
    <t>Wat heb je geleerd?</t>
  </si>
  <si>
    <t>Wat behoud je?</t>
  </si>
  <si>
    <t>Wat ga je anders doen?</t>
  </si>
  <si>
    <t>SPRINT 2</t>
  </si>
  <si>
    <t>SPRINT 3</t>
  </si>
  <si>
    <t>SPRINT 4</t>
  </si>
  <si>
    <t>SPRINT 5</t>
  </si>
  <si>
    <t>SPRINT 6</t>
  </si>
  <si>
    <t>SPRINT 7</t>
  </si>
  <si>
    <t>SPRINT 8</t>
  </si>
  <si>
    <t>O</t>
  </si>
  <si>
    <t>LS</t>
  </si>
  <si>
    <t>V</t>
  </si>
  <si>
    <t>RS</t>
  </si>
  <si>
    <t xml:space="preserve">1. PLANNING (User Stories) </t>
  </si>
  <si>
    <t>Plannen met je plannings Agent</t>
  </si>
  <si>
    <t xml:space="preserve">Portfolio </t>
  </si>
  <si>
    <t>vul hier je portfolio site url in</t>
  </si>
  <si>
    <t>Als toekomstig makelaar wil ik onderzoeken hoe AI het beroep van makelaar verandert, zodat ik weet welke werkzaamheden, kansen en benodigde vaardigheden in de toekomst belangrijk worden.</t>
  </si>
  <si>
    <t>1. Ik onderzoek minimaal 5 concrete toepassingen van AI binnen vastgoed en makelaardij, zoals woningwaardering, woningpresentatie, klantcontact, data-analyse en leadgeneratie.
2. Ik beschrijf minimaal 3 werkzaamheden van een makelaar die door AI veranderen en leg per werkzaamheid uit wat de invloed van AI is.
3. Ik formuleer op basis van mijn onderzoek minimaal 5 AI- en digitale vaardigheden die een toekomstige makelaar nodig heeft en onderbouw deze met minimaal 3 betrouwbare bronnen.</t>
  </si>
  <si>
    <t>1. De gebruikte bronnen zijn actueel, relevant en controleerbaar en ik vermeld duidelijk waar mijn informatie vandaan komt.
2. Ik maak onderscheid tussen feiten uit bronnen, mogelijkheden van AI en mijn eigen conclusies.
3. Het eindresultaat is specifiek gericht op de Nederlandse vastgoed- en makelaarspraktijk en bevat concrete voorbeelden in plaats van alleen algemene informatie over AI.</t>
  </si>
  <si>
    <t>Als makelaar wil ik met generatieve AI automatisch een professionele woningadvertentie kunnen opstellen op basis van woninggegevens, zodat ik sneller een goede eerste versie van een verkooptekst kan maken.</t>
  </si>
  <si>
    <t>1. Ik ontwerp een herbruikbare prompt waarin minimaal woningtype, locatie, woonoppervlakte, aantal kamers, bijzondere kenmerken en doelgroep als invoer kunnen worden meegegeven.
2. Ik test de prompt met minimaal 3 verschillende woningen en leg per test de gebruikte invoer, prompt en gegenereerde output vast als bewijs.
3. De gegenereerde tekst bevat een duidelijke titel, introductie, belangrijkste woningkenmerken en afsluiting en voegt geen woningkenmerken toe die niet in de broninformatie staan.</t>
  </si>
  <si>
    <t>1. De woningtekst is professioneel geschreven, logisch opgebouwd, begrijpelijk en passend bij communicatie van een makelaarskantoor.
2. Feitelijke juistheid gaat vóór een aantrekkelijke tekst: de AI mag geen oppervlaktes, voorzieningen, locaties of andere eigenschappen verzinnen.
3. De prompt is herbruikbaar voor verschillende woningtypen en levert bij vergelijkbare invoer een consistente kwaliteit en tone of voice op.</t>
  </si>
  <si>
    <t>Als makelaar wil ik AI gebruiken om woning- en marktgegevens te analyseren, zodat ik sneller inzicht krijg in prijsverschillen, vergelijkbare woningen en mogelijke marktontwikkelingen.</t>
  </si>
  <si>
    <t>1. Ik verzamel of maak een dataset met minimaal 20 woningen met relevante kenmerken zoals vraagprijs, woonoppervlakte, locatie, aantal kamers en prijs per m².
2. Ik gebruik een AI-tool om minimaal 3 analyses uit te voeren, bijvoorbeeld een vergelijking van prijs per m², verschillen tussen locaties en het verband tussen woonoppervlakte en vraagprijs.
3. Ik presenteer de resultaten in minimaal één duidelijk overzicht of visualisatie en controleer minimaal 5 uitkomsten handmatig met de brondata.</t>
  </si>
  <si>
    <t>1. De gebruikte dataset, variabelen en analysemethode worden duidelijk beschreven zodat iemand anders kan begrijpen hoe de analyse tot stand is gekomen.
2. Ik presenteer verbanden niet automatisch als oorzaken en benoem beperkingen zoals een kleine dataset, ontbrekende kenmerken of mogelijke vertekening.
3. Cijfers en conclusies zijn herleidbaar naar de brondata en belangrijke AI-uitkomsten worden door mij gecontroleerd voordat ik ze presenteer.</t>
  </si>
  <si>
    <t>Als woningzoeker wil ik vragen kunnen stellen aan een AI-assistent over een woning, zodat ik snel antwoord krijg op veelvoorkomende vragen zonder direct contact te hoeven opnemen met een makelaar.</t>
  </si>
  <si>
    <t>1. Ik maak een werkend prototype van een AI-assistent die minimaal 10 vooraf bepaalde soorten vragen over een woning kan beantwoorden, bijvoorbeeld over prijs, oppervlakte, kamers, ligging, energielabel en bezichtigingen.
2. Ik test de assistent met minimaal 15 vragen, waaronder minimaal 3 vragen waarop het antwoord niet in de beschikbare woninginformatie staat.
3. Wanneer informatie ontbreekt of onzeker is, geeft de assistent dit duidelijk aan en verwijst hij bij complexe of persoonlijke vragen door naar een menselijke makelaar.</t>
  </si>
  <si>
    <t>1. Minimaal 90% van de antwoorden op vragen waarvoor informatie beschikbaar is, komt inhoudelijk overeen met de gebruikte woninginformatie.
2. De AI-assistent verzint geen woninginformatie en maakt onzekerheid of ontbrekende gegevens zichtbaar.
3. De communicatie is vriendelijk, professioneel en begrijpelijk en de gebruiker kan duidelijk herkennen dat hij met een AI-systeem communiceert.</t>
  </si>
  <si>
    <t>Als makelaar wil ik weten hoe ik AI verantwoord kan gebruiken in mijn werk, zodat klanten beschermd blijven tegen problemen rond privacy, discriminatie, foutieve informatie en gebrek aan transparantie.</t>
  </si>
  <si>
    <t>1. Ik onderzoek minimaal 4 relevante risico's van AI in de makelaardij, waaronder privacy, bias/discriminatie, transparantie en foutieve AI-output.
2. Ik beschrijf per risico een concreet voorbeeld uit de vastgoedpraktijk en formuleer minimaal één maatregel waarmee een makelaarskantoor het risico kan verkleinen.
3. Ik maak op basis van mijn onderzoek een korte richtlijn met minimaal 8 concrete regels of aanbevelingen voor verantwoord AI-gebruik binnen een makelaarskantoor.</t>
  </si>
  <si>
    <t>1. De aanbevelingen zijn concreet en praktisch genoeg om daadwerkelijk binnen een makelaarskantoor toegepast te kunnen worden.
2. Bij toepassingen met persoonsgegevens, woninggegevens of klantinformatie wordt expliciet rekening gehouden met privacy, dataminimalisatie en menselijke controle.
3. De richtlijn maakt duidelijk wanneer AI zelfstandig mag ondersteunen, wanneer resultaten gecontroleerd moeten worden en wanneer de uiteindelijke beslissing altijd bij een mens moet blijven.</t>
  </si>
  <si>
    <t>Website voor makelaardij</t>
  </si>
  <si>
    <t>Onderzoek in eigen werkveld onderbouwt met bronnen</t>
  </si>
  <si>
    <t>Dagboek en inzicht in ontwikkeling</t>
  </si>
  <si>
    <t>Onderbouwing van eigen handelen en wat je geleerd hebt.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</si>
</sst>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numFmts>
  <fonts count="12" x14ac:knownFonts="1">
    <font>
      <sz val="11"/>
      <color theme="1"/>
      <name val="Calibri"/>
      <family val="2"/>
      <charset val="1"/>
    </font>
    <font>
      <b/>
      <sz val="11"/>
      <color theme="0"/>
      <name val="Calibri"/>
      <family val="2"/>
      <charset val="1"/>
    </font>
    <font>
      <b/>
      <u/>
      <sz val="11"/>
      <color theme="0"/>
      <name val="Calibri"/>
      <family val="2"/>
      <charset val="1"/>
    </font>
    <font>
      <u/>
      <sz val="11"/>
      <color theme="0"/>
      <name val="Calibri"/>
      <family val="2"/>
      <charset val="1"/>
    </font>
    <font>
      <b/>
      <sz val="11"/>
      <color theme="1"/>
      <name val="Calibri"/>
      <family val="2"/>
      <charset val="1"/>
    </font>
    <font>
      <b/>
      <sz val="13"/>
      <color rgb="FFFFFFFF"/>
      <name val="Arial"/>
      <family val="2"/>
    </font>
    <font>
      <sz val="10"/>
      <color rgb="FF000000"/>
      <name val="Arial"/>
      <family val="2"/>
    </font>
    <font>
      <b/>
      <sz val="11"/>
      <color rgb="FF1A1A1A"/>
      <name val="Arial"/>
      <family val="2"/>
    </font>
    <font>
      <b/>
      <sz val="10"/>
      <color rgb="FF000000"/>
      <name val="Arial"/>
      <family val="2"/>
    </font>
    <font>
      <u/>
      <sz val="11"/>
      <color theme="10"/>
      <name val="Calibri"/>
      <family val="2"/>
      <charset val="1"/>
    </font>
    <font>
      <b/>
      <sz val="11"/>
      <color theme="0"/>
      <name val="Calibri"/>
      <family val="2"/>
    </font>
    <font>
      <i/>
      <sz val="11"/>
      <color theme="0" tint="-0.34998626667073579"/>
      <name val="Calibri"/>
      <family val="2"/>
    </font>
  </fonts>
  <fills count="10">
    <fill>
      <patternFill patternType="none"/>
    </fill>
    <fill>
      <patternFill patternType="gray125"/>
    </fill>
    <fill>
      <patternFill patternType="solid">
        <fgColor rgb="FFC00000"/>
        <bgColor rgb="FF800000"/>
      </patternFill>
    </fill>
    <fill>
      <patternFill patternType="solid">
        <fgColor rgb="FFE6302B"/>
        <bgColor rgb="FFC00000"/>
      </patternFill>
    </fill>
    <fill>
      <patternFill patternType="solid">
        <fgColor rgb="FFFDF0F0"/>
        <bgColor rgb="FFEDF7FC"/>
      </patternFill>
    </fill>
    <fill>
      <patternFill patternType="solid">
        <fgColor rgb="FFFACAC9"/>
        <bgColor rgb="FFCCCCCC"/>
      </patternFill>
    </fill>
    <fill>
      <patternFill patternType="solid">
        <fgColor rgb="FF00A1E1"/>
        <bgColor rgb="FF008080"/>
      </patternFill>
    </fill>
    <fill>
      <patternFill patternType="solid">
        <fgColor rgb="FFEDF7FC"/>
        <bgColor rgb="FFFDF0F0"/>
      </patternFill>
    </fill>
    <fill>
      <patternFill patternType="solid">
        <fgColor rgb="FFB3E3F6"/>
        <bgColor rgb="FF99CCFF"/>
      </patternFill>
    </fill>
    <fill>
      <patternFill patternType="solid">
        <fgColor rgb="FFC00000"/>
        <bgColor indexed="64"/>
      </patternFill>
    </fill>
  </fills>
  <borders count="35">
    <border>
      <left/>
      <right/>
      <top/>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style="medium">
        <color rgb="FF888888"/>
      </left>
      <right style="medium">
        <color rgb="FF888888"/>
      </right>
      <top style="medium">
        <color rgb="FF888888"/>
      </top>
      <bottom style="medium">
        <color rgb="FF888888"/>
      </bottom>
      <diagonal/>
    </border>
    <border>
      <left style="thin">
        <color rgb="FFCCCCCC"/>
      </left>
      <right style="thin">
        <color rgb="FFCCCCCC"/>
      </right>
      <top style="thin">
        <color rgb="FFCCCCCC"/>
      </top>
      <bottom style="thin">
        <color rgb="FFCCCCCC"/>
      </bottom>
      <diagonal/>
    </border>
    <border>
      <left style="medium">
        <color rgb="FF444444"/>
      </left>
      <right style="thin">
        <color rgb="FF999999"/>
      </right>
      <top style="medium">
        <color rgb="FF444444"/>
      </top>
      <bottom style="thin">
        <color rgb="FF999999"/>
      </bottom>
      <diagonal/>
    </border>
    <border>
      <left style="thin">
        <color rgb="FF999999"/>
      </left>
      <right style="thin">
        <color rgb="FF999999"/>
      </right>
      <top style="medium">
        <color rgb="FF444444"/>
      </top>
      <bottom style="thin">
        <color rgb="FF999999"/>
      </bottom>
      <diagonal/>
    </border>
    <border>
      <left style="thin">
        <color rgb="FF999999"/>
      </left>
      <right style="medium">
        <color rgb="FF444444"/>
      </right>
      <top style="medium">
        <color rgb="FF444444"/>
      </top>
      <bottom style="thin">
        <color rgb="FF999999"/>
      </bottom>
      <diagonal/>
    </border>
    <border>
      <left style="medium">
        <color rgb="FF444444"/>
      </left>
      <right style="thin">
        <color rgb="FF999999"/>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
      <left style="thin">
        <color rgb="FF999999"/>
      </left>
      <right style="medium">
        <color rgb="FF444444"/>
      </right>
      <top style="thin">
        <color rgb="FF999999"/>
      </top>
      <bottom style="thin">
        <color rgb="FF999999"/>
      </bottom>
      <diagonal/>
    </border>
    <border>
      <left style="medium">
        <color rgb="FF444444"/>
      </left>
      <right style="thin">
        <color rgb="FF999999"/>
      </right>
      <top style="thin">
        <color rgb="FF999999"/>
      </top>
      <bottom style="medium">
        <color rgb="FF444444"/>
      </bottom>
      <diagonal/>
    </border>
    <border>
      <left style="thin">
        <color rgb="FF999999"/>
      </left>
      <right style="thin">
        <color rgb="FF999999"/>
      </right>
      <top style="thin">
        <color rgb="FF999999"/>
      </top>
      <bottom style="medium">
        <color rgb="FF444444"/>
      </bottom>
      <diagonal/>
    </border>
    <border>
      <left style="thin">
        <color rgb="FF999999"/>
      </left>
      <right style="medium">
        <color rgb="FF444444"/>
      </right>
      <top style="thin">
        <color rgb="FF999999"/>
      </top>
      <bottom style="medium">
        <color rgb="FF444444"/>
      </bottom>
      <diagonal/>
    </border>
    <border>
      <left style="medium">
        <color rgb="FF444444"/>
      </left>
      <right style="thin">
        <color rgb="FF999999"/>
      </right>
      <top style="thin">
        <color rgb="FF999999"/>
      </top>
      <bottom/>
      <diagonal/>
    </border>
    <border>
      <left style="thin">
        <color rgb="FF999999"/>
      </left>
      <right style="thin">
        <color rgb="FF999999"/>
      </right>
      <top style="thin">
        <color rgb="FF999999"/>
      </top>
      <bottom/>
      <diagonal/>
    </border>
    <border>
      <left style="thin">
        <color rgb="FF999999"/>
      </left>
      <right style="medium">
        <color rgb="FF444444"/>
      </right>
      <top style="thin">
        <color rgb="FF999999"/>
      </top>
      <bottom/>
      <diagonal/>
    </border>
    <border>
      <left style="thin">
        <color rgb="FFCCCCCC"/>
      </left>
      <right style="thin">
        <color rgb="FFCCCCCC"/>
      </right>
      <top/>
      <bottom style="thin">
        <color rgb="FFCCCCCC"/>
      </bottom>
      <diagonal/>
    </border>
    <border>
      <left/>
      <right/>
      <top style="thin">
        <color indexed="64"/>
      </top>
      <bottom style="thin">
        <color indexed="64"/>
      </bottom>
      <diagonal/>
    </border>
    <border>
      <left style="medium">
        <color rgb="FF888888"/>
      </left>
      <right style="medium">
        <color rgb="FF888888"/>
      </right>
      <top/>
      <bottom style="medium">
        <color rgb="FF888888"/>
      </bottom>
      <diagonal/>
    </border>
    <border>
      <left style="medium">
        <color rgb="FF444444"/>
      </left>
      <right style="thin">
        <color rgb="FF999999"/>
      </right>
      <top/>
      <bottom style="thin">
        <color rgb="FF999999"/>
      </bottom>
      <diagonal/>
    </border>
    <border>
      <left style="thin">
        <color rgb="FF999999"/>
      </left>
      <right style="thin">
        <color rgb="FF999999"/>
      </right>
      <top/>
      <bottom style="thin">
        <color rgb="FF999999"/>
      </bottom>
      <diagonal/>
    </border>
    <border>
      <left style="thin">
        <color rgb="FF999999"/>
      </left>
      <right style="medium">
        <color rgb="FF444444"/>
      </right>
      <top/>
      <bottom style="thin">
        <color rgb="FF999999"/>
      </bottom>
      <diagonal/>
    </border>
    <border>
      <left/>
      <right/>
      <top/>
      <bottom style="thin">
        <color indexed="64"/>
      </bottom>
      <diagonal/>
    </border>
    <border>
      <left style="thin">
        <color rgb="FF999999"/>
      </left>
      <right/>
      <top style="thin">
        <color rgb="FF999999"/>
      </top>
      <bottom style="thin">
        <color rgb="FF999999"/>
      </bottom>
      <diagonal/>
    </border>
    <border>
      <left style="thin">
        <color rgb="FF999999"/>
      </left>
      <right/>
      <top style="thin">
        <color rgb="FF999999"/>
      </top>
      <bottom/>
      <diagonal/>
    </border>
    <border>
      <left/>
      <right style="medium">
        <color rgb="FF444444"/>
      </right>
      <top style="thin">
        <color rgb="FF999999"/>
      </top>
      <bottom/>
      <diagonal/>
    </border>
    <border>
      <left style="thin">
        <color rgb="FF999999"/>
      </left>
      <right style="thin">
        <color rgb="FF999999"/>
      </right>
      <top style="medium">
        <color rgb="FF444444"/>
      </top>
      <bottom/>
      <diagonal/>
    </border>
  </borders>
  <cellStyleXfs count="2">
    <xf numFmtId="0" fontId="0" fillId="0" borderId="0"/>
    <xf numFmtId="0" fontId="9" fillId="0" borderId="0" applyNumberFormat="0" applyFill="0" applyBorder="0" applyAlignment="0" applyProtection="0"/>
  </cellStyleXfs>
  <cellXfs count="106">
    <xf numFmtId="0" fontId="0" fillId="0" borderId="0" xfId="0"/>
    <xf numFmtId="0" fontId="0" fillId="0" borderId="0" xfId="0" applyAlignment="1">
      <alignment horizontal="center" vertical="center"/>
    </xf>
    <xf numFmtId="0" fontId="1" fillId="2" borderId="1" xfId="0" applyFont="1" applyFill="1" applyBorder="1"/>
    <xf numFmtId="0" fontId="1" fillId="2" borderId="2" xfId="0" applyFont="1" applyFill="1" applyBorder="1" applyAlignment="1">
      <alignment horizontal="center" vertical="center"/>
    </xf>
    <xf numFmtId="0" fontId="2" fillId="2" borderId="2"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4" fillId="0" borderId="4" xfId="0" applyFont="1" applyBorder="1"/>
    <xf numFmtId="0" fontId="4" fillId="0" borderId="5" xfId="0" applyFont="1"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4" fillId="0" borderId="7" xfId="0" applyFont="1" applyBorder="1"/>
    <xf numFmtId="0" fontId="4" fillId="0" borderId="8" xfId="0" applyFont="1"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6" fillId="4" borderId="0" xfId="0" applyFont="1" applyFill="1"/>
    <xf numFmtId="0" fontId="7" fillId="5" borderId="11" xfId="0" applyFont="1" applyFill="1" applyBorder="1"/>
    <xf numFmtId="0" fontId="8" fillId="4" borderId="12" xfId="0" applyFont="1" applyFill="1" applyBorder="1"/>
    <xf numFmtId="0" fontId="8" fillId="4" borderId="13" xfId="0" applyFont="1" applyFill="1" applyBorder="1"/>
    <xf numFmtId="0" fontId="8" fillId="4" borderId="14" xfId="0" applyFont="1" applyFill="1" applyBorder="1"/>
    <xf numFmtId="0" fontId="6" fillId="4" borderId="15" xfId="0" applyFont="1" applyFill="1" applyBorder="1" applyProtection="1">
      <protection locked="0"/>
    </xf>
    <xf numFmtId="0" fontId="6" fillId="4" borderId="16" xfId="0" applyFont="1" applyFill="1" applyBorder="1" applyAlignment="1" applyProtection="1">
      <alignment horizontal="left" wrapText="1"/>
      <protection locked="0"/>
    </xf>
    <xf numFmtId="0" fontId="6" fillId="4" borderId="17" xfId="0" applyFont="1" applyFill="1" applyBorder="1" applyAlignment="1" applyProtection="1">
      <alignment horizontal="left" wrapText="1"/>
      <protection locked="0"/>
    </xf>
    <xf numFmtId="49" fontId="6" fillId="4" borderId="16" xfId="0" applyNumberFormat="1" applyFont="1" applyFill="1" applyBorder="1" applyAlignment="1" applyProtection="1">
      <alignment horizontal="left" wrapText="1"/>
      <protection locked="0"/>
    </xf>
    <xf numFmtId="0" fontId="6" fillId="4" borderId="18" xfId="0" applyFont="1" applyFill="1" applyBorder="1" applyProtection="1">
      <protection locked="0"/>
    </xf>
    <xf numFmtId="49" fontId="6" fillId="4" borderId="19" xfId="0" applyNumberFormat="1" applyFont="1" applyFill="1" applyBorder="1" applyAlignment="1" applyProtection="1">
      <alignment horizontal="left" wrapText="1"/>
      <protection locked="0"/>
    </xf>
    <xf numFmtId="0" fontId="6" fillId="4" borderId="19" xfId="0" applyFont="1" applyFill="1" applyBorder="1" applyAlignment="1" applyProtection="1">
      <alignment horizontal="left" wrapText="1"/>
      <protection locked="0"/>
    </xf>
    <xf numFmtId="0" fontId="6" fillId="4" borderId="20" xfId="0" applyFont="1" applyFill="1" applyBorder="1" applyAlignment="1" applyProtection="1">
      <alignment horizontal="left" wrapText="1"/>
      <protection locked="0"/>
    </xf>
    <xf numFmtId="164" fontId="6" fillId="4" borderId="15" xfId="0" applyNumberFormat="1" applyFont="1" applyFill="1" applyBorder="1" applyProtection="1">
      <protection locked="0"/>
    </xf>
    <xf numFmtId="0" fontId="6" fillId="4" borderId="18" xfId="0" applyFont="1" applyFill="1" applyBorder="1"/>
    <xf numFmtId="0" fontId="6" fillId="4" borderId="15" xfId="0" applyFont="1" applyFill="1" applyBorder="1"/>
    <xf numFmtId="0" fontId="6" fillId="4" borderId="16" xfId="0" applyFont="1" applyFill="1" applyBorder="1" applyAlignment="1">
      <alignment wrapText="1"/>
    </xf>
    <xf numFmtId="0" fontId="6" fillId="4" borderId="16" xfId="0" applyFont="1" applyFill="1" applyBorder="1" applyProtection="1">
      <protection locked="0"/>
    </xf>
    <xf numFmtId="0" fontId="6" fillId="4" borderId="19" xfId="0" applyFont="1" applyFill="1" applyBorder="1" applyAlignment="1">
      <alignment wrapText="1"/>
    </xf>
    <xf numFmtId="0" fontId="6" fillId="4" borderId="19" xfId="0" applyFont="1" applyFill="1" applyBorder="1" applyProtection="1">
      <protection locked="0"/>
    </xf>
    <xf numFmtId="0" fontId="6" fillId="4" borderId="0" xfId="0" applyFont="1" applyFill="1" applyAlignment="1">
      <alignment wrapText="1"/>
    </xf>
    <xf numFmtId="0" fontId="6" fillId="4" borderId="0" xfId="0" applyFont="1" applyFill="1" applyProtection="1">
      <protection locked="0"/>
    </xf>
    <xf numFmtId="0" fontId="7" fillId="5" borderId="11" xfId="0" applyFont="1" applyFill="1" applyBorder="1" applyAlignment="1">
      <alignment wrapText="1"/>
    </xf>
    <xf numFmtId="0" fontId="7" fillId="5" borderId="11" xfId="0" applyFont="1" applyFill="1" applyBorder="1" applyProtection="1">
      <protection locked="0"/>
    </xf>
    <xf numFmtId="0" fontId="8" fillId="4" borderId="13" xfId="0" applyFont="1" applyFill="1" applyBorder="1" applyAlignment="1">
      <alignment wrapText="1"/>
    </xf>
    <xf numFmtId="0" fontId="8" fillId="4" borderId="13" xfId="0" applyFont="1" applyFill="1" applyBorder="1" applyProtection="1">
      <protection locked="0"/>
    </xf>
    <xf numFmtId="0" fontId="6" fillId="7" borderId="0" xfId="0" applyFont="1" applyFill="1"/>
    <xf numFmtId="0" fontId="7" fillId="8" borderId="11" xfId="0" applyFont="1" applyFill="1" applyBorder="1"/>
    <xf numFmtId="0" fontId="8" fillId="7" borderId="12" xfId="0" applyFont="1" applyFill="1" applyBorder="1"/>
    <xf numFmtId="0" fontId="8" fillId="7" borderId="13" xfId="0" applyFont="1" applyFill="1" applyBorder="1"/>
    <xf numFmtId="0" fontId="8" fillId="7" borderId="14" xfId="0" applyFont="1" applyFill="1" applyBorder="1"/>
    <xf numFmtId="0" fontId="6" fillId="7" borderId="15" xfId="0" applyFont="1" applyFill="1" applyBorder="1" applyProtection="1">
      <protection locked="0"/>
    </xf>
    <xf numFmtId="49" fontId="6" fillId="7" borderId="16" xfId="0" applyNumberFormat="1" applyFont="1" applyFill="1" applyBorder="1" applyAlignment="1" applyProtection="1">
      <alignment horizontal="left" wrapText="1"/>
      <protection locked="0"/>
    </xf>
    <xf numFmtId="0" fontId="6" fillId="7" borderId="16" xfId="0" applyFont="1" applyFill="1" applyBorder="1" applyAlignment="1" applyProtection="1">
      <alignment horizontal="left" wrapText="1"/>
      <protection locked="0"/>
    </xf>
    <xf numFmtId="0" fontId="6" fillId="7" borderId="17" xfId="0" applyFont="1" applyFill="1" applyBorder="1" applyAlignment="1" applyProtection="1">
      <alignment horizontal="left" wrapText="1"/>
      <protection locked="0"/>
    </xf>
    <xf numFmtId="0" fontId="6" fillId="7" borderId="18" xfId="0" applyFont="1" applyFill="1" applyBorder="1" applyProtection="1">
      <protection locked="0"/>
    </xf>
    <xf numFmtId="49" fontId="6" fillId="7" borderId="19" xfId="0" applyNumberFormat="1" applyFont="1" applyFill="1" applyBorder="1" applyAlignment="1" applyProtection="1">
      <alignment horizontal="left" wrapText="1"/>
      <protection locked="0"/>
    </xf>
    <xf numFmtId="0" fontId="6" fillId="7" borderId="19" xfId="0" applyFont="1" applyFill="1" applyBorder="1" applyAlignment="1" applyProtection="1">
      <alignment horizontal="left" wrapText="1"/>
      <protection locked="0"/>
    </xf>
    <xf numFmtId="0" fontId="6" fillId="7" borderId="20" xfId="0" applyFont="1" applyFill="1" applyBorder="1" applyAlignment="1" applyProtection="1">
      <alignment horizontal="left" wrapText="1"/>
      <protection locked="0"/>
    </xf>
    <xf numFmtId="164" fontId="6" fillId="7" borderId="15" xfId="0" applyNumberFormat="1" applyFont="1" applyFill="1" applyBorder="1" applyProtection="1">
      <protection locked="0"/>
    </xf>
    <xf numFmtId="0" fontId="6" fillId="7" borderId="18" xfId="0" applyFont="1" applyFill="1" applyBorder="1"/>
    <xf numFmtId="0" fontId="6" fillId="7" borderId="15" xfId="0" applyFont="1" applyFill="1" applyBorder="1"/>
    <xf numFmtId="0" fontId="6" fillId="7" borderId="16" xfId="0" applyFont="1" applyFill="1" applyBorder="1" applyAlignment="1">
      <alignment wrapText="1"/>
    </xf>
    <xf numFmtId="0" fontId="6" fillId="7" borderId="16" xfId="0" applyFont="1" applyFill="1" applyBorder="1" applyProtection="1">
      <protection locked="0"/>
    </xf>
    <xf numFmtId="0" fontId="6" fillId="7" borderId="19" xfId="0" applyFont="1" applyFill="1" applyBorder="1" applyAlignment="1">
      <alignment wrapText="1"/>
    </xf>
    <xf numFmtId="0" fontId="6" fillId="7" borderId="19" xfId="0" applyFont="1" applyFill="1" applyBorder="1" applyProtection="1">
      <protection locked="0"/>
    </xf>
    <xf numFmtId="0" fontId="6" fillId="7" borderId="0" xfId="0" applyFont="1" applyFill="1" applyAlignment="1">
      <alignment wrapText="1"/>
    </xf>
    <xf numFmtId="0" fontId="6" fillId="7" borderId="0" xfId="0" applyFont="1" applyFill="1" applyProtection="1">
      <protection locked="0"/>
    </xf>
    <xf numFmtId="0" fontId="7" fillId="8" borderId="11" xfId="0" applyFont="1" applyFill="1" applyBorder="1" applyAlignment="1">
      <alignment wrapText="1"/>
    </xf>
    <xf numFmtId="0" fontId="7" fillId="8" borderId="11" xfId="0" applyFont="1" applyFill="1" applyBorder="1" applyProtection="1">
      <protection locked="0"/>
    </xf>
    <xf numFmtId="0" fontId="8" fillId="7" borderId="13" xfId="0" applyFont="1" applyFill="1" applyBorder="1" applyAlignment="1">
      <alignment wrapText="1"/>
    </xf>
    <xf numFmtId="0" fontId="8" fillId="7" borderId="13" xfId="0" applyFont="1" applyFill="1" applyBorder="1" applyProtection="1">
      <protection locked="0"/>
    </xf>
    <xf numFmtId="0" fontId="9" fillId="5" borderId="11" xfId="1" applyFill="1" applyBorder="1"/>
    <xf numFmtId="164" fontId="6" fillId="4" borderId="21" xfId="0" applyNumberFormat="1" applyFont="1" applyFill="1" applyBorder="1" applyProtection="1">
      <protection locked="0"/>
    </xf>
    <xf numFmtId="0" fontId="6" fillId="4" borderId="22" xfId="0" applyFont="1" applyFill="1" applyBorder="1" applyAlignment="1" applyProtection="1">
      <alignment horizontal="left" wrapText="1"/>
      <protection locked="0"/>
    </xf>
    <xf numFmtId="0" fontId="6" fillId="4" borderId="23" xfId="0" applyFont="1" applyFill="1" applyBorder="1" applyAlignment="1" applyProtection="1">
      <alignment horizontal="left" wrapText="1"/>
      <protection locked="0"/>
    </xf>
    <xf numFmtId="0" fontId="7" fillId="5" borderId="24" xfId="0" applyFont="1" applyFill="1" applyBorder="1"/>
    <xf numFmtId="0" fontId="6" fillId="4" borderId="25" xfId="0" applyFont="1" applyFill="1" applyBorder="1"/>
    <xf numFmtId="0" fontId="6" fillId="4" borderId="21" xfId="0" applyFont="1" applyFill="1" applyBorder="1"/>
    <xf numFmtId="0" fontId="6" fillId="4" borderId="22" xfId="0" applyFont="1" applyFill="1" applyBorder="1" applyAlignment="1">
      <alignment wrapText="1"/>
    </xf>
    <xf numFmtId="164" fontId="6" fillId="7" borderId="21" xfId="0" applyNumberFormat="1" applyFont="1" applyFill="1" applyBorder="1" applyProtection="1">
      <protection locked="0"/>
    </xf>
    <xf numFmtId="0" fontId="6" fillId="7" borderId="22" xfId="0" applyFont="1" applyFill="1" applyBorder="1" applyAlignment="1" applyProtection="1">
      <alignment horizontal="left" wrapText="1"/>
      <protection locked="0"/>
    </xf>
    <xf numFmtId="0" fontId="6" fillId="7" borderId="23" xfId="0" applyFont="1" applyFill="1" applyBorder="1" applyAlignment="1" applyProtection="1">
      <alignment horizontal="left" wrapText="1"/>
      <protection locked="0"/>
    </xf>
    <xf numFmtId="0" fontId="7" fillId="8" borderId="24" xfId="0" applyFont="1" applyFill="1" applyBorder="1"/>
    <xf numFmtId="0" fontId="6" fillId="7" borderId="21" xfId="0" applyFont="1" applyFill="1" applyBorder="1"/>
    <xf numFmtId="0" fontId="6" fillId="7" borderId="22" xfId="0" applyFont="1" applyFill="1" applyBorder="1"/>
    <xf numFmtId="0" fontId="6" fillId="4" borderId="22" xfId="0" applyFont="1" applyFill="1" applyBorder="1"/>
    <xf numFmtId="0" fontId="6" fillId="7" borderId="22" xfId="0" applyFont="1" applyFill="1" applyBorder="1" applyAlignment="1" applyProtection="1">
      <alignment horizontal="left"/>
      <protection locked="0"/>
    </xf>
    <xf numFmtId="0" fontId="6" fillId="7" borderId="23" xfId="0" applyFont="1" applyFill="1" applyBorder="1" applyAlignment="1" applyProtection="1">
      <alignment horizontal="left"/>
      <protection locked="0"/>
    </xf>
    <xf numFmtId="0" fontId="0" fillId="7" borderId="5" xfId="0" applyFill="1" applyBorder="1"/>
    <xf numFmtId="0" fontId="6" fillId="7" borderId="6" xfId="0" applyFont="1" applyFill="1" applyBorder="1"/>
    <xf numFmtId="0" fontId="6" fillId="7" borderId="25" xfId="0" applyFont="1" applyFill="1" applyBorder="1"/>
    <xf numFmtId="0" fontId="6" fillId="7" borderId="4" xfId="0" applyFont="1" applyFill="1" applyBorder="1"/>
    <xf numFmtId="0" fontId="6" fillId="4" borderId="6" xfId="0" applyFont="1" applyFill="1" applyBorder="1"/>
    <xf numFmtId="0" fontId="6" fillId="4" borderId="4" xfId="0" applyFont="1" applyFill="1" applyBorder="1"/>
    <xf numFmtId="0" fontId="8" fillId="7" borderId="27" xfId="0" applyFont="1" applyFill="1" applyBorder="1"/>
    <xf numFmtId="0" fontId="8" fillId="7" borderId="28" xfId="0" applyFont="1" applyFill="1" applyBorder="1"/>
    <xf numFmtId="0" fontId="8" fillId="7" borderId="29" xfId="0" applyFont="1" applyFill="1" applyBorder="1"/>
    <xf numFmtId="0" fontId="7" fillId="8" borderId="3" xfId="0" applyFont="1" applyFill="1" applyBorder="1"/>
    <xf numFmtId="0" fontId="7" fillId="8" borderId="30" xfId="0" applyFont="1" applyFill="1" applyBorder="1"/>
    <xf numFmtId="0" fontId="7" fillId="8" borderId="1" xfId="0" applyFont="1" applyFill="1" applyBorder="1"/>
    <xf numFmtId="0" fontId="6" fillId="4" borderId="31" xfId="0" applyFont="1" applyFill="1" applyBorder="1" applyAlignment="1" applyProtection="1">
      <alignment horizontal="left" wrapText="1"/>
      <protection locked="0"/>
    </xf>
    <xf numFmtId="0" fontId="6" fillId="4" borderId="32" xfId="0" applyFont="1" applyFill="1" applyBorder="1" applyAlignment="1" applyProtection="1">
      <alignment horizontal="left" wrapText="1"/>
      <protection locked="0"/>
    </xf>
    <xf numFmtId="0" fontId="6" fillId="4" borderId="33" xfId="0" applyFont="1" applyFill="1" applyBorder="1" applyAlignment="1" applyProtection="1">
      <alignment horizontal="left" wrapText="1"/>
      <protection locked="0"/>
    </xf>
    <xf numFmtId="0" fontId="8" fillId="4" borderId="34" xfId="0" applyFont="1" applyFill="1" applyBorder="1"/>
    <xf numFmtId="0" fontId="6" fillId="4" borderId="16" xfId="0" applyFont="1" applyFill="1" applyBorder="1" applyAlignment="1">
      <alignment vertical="top" wrapText="1"/>
    </xf>
    <xf numFmtId="0" fontId="10" fillId="9" borderId="5" xfId="0" applyFont="1" applyFill="1" applyBorder="1"/>
    <xf numFmtId="0" fontId="5" fillId="6" borderId="26" xfId="0" applyFont="1" applyFill="1" applyBorder="1"/>
    <xf numFmtId="0" fontId="5" fillId="3" borderId="26" xfId="0" applyFont="1" applyFill="1" applyBorder="1"/>
    <xf numFmtId="0" fontId="5" fillId="3" borderId="10" xfId="0" applyFont="1" applyFill="1" applyBorder="1"/>
    <xf numFmtId="0" fontId="11" fillId="0" borderId="5" xfId="0" applyFont="1" applyBorder="1" applyAlignment="1">
      <alignment horizontal="center"/>
    </xf>
  </cellXfs>
  <cellStyles count="2">
    <cellStyle name="Hyperlink" xfId="1" builtinId="8"/>
    <cellStyle name="Standaard" xfId="0" builtinId="0"/>
  </cellStyles>
  <dxfs count="40">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font>
        <b val="0"/>
        <i val="0"/>
        <strike val="0"/>
        <condense val="0"/>
        <extend val="0"/>
        <outline val="0"/>
        <shadow val="0"/>
        <u val="none"/>
        <vertAlign val="baseline"/>
        <sz val="10"/>
        <color rgb="FF000000"/>
        <name val="Arial"/>
        <family val="2"/>
        <scheme val="none"/>
      </font>
      <fill>
        <patternFill patternType="solid">
          <fgColor rgb="FFEDF7FC"/>
          <bgColor rgb="FFFDF0F0"/>
        </patternFill>
      </fill>
      <alignment horizontal="general" vertical="top" textRotation="0" wrapText="1" indent="0" justifyLastLine="0" shrinkToFit="0" readingOrder="0"/>
      <border diagonalUp="0" diagonalDown="0">
        <left style="thin">
          <color rgb="FF999999"/>
        </left>
        <right style="thin">
          <color rgb="FF999999"/>
        </right>
        <top style="thin">
          <color rgb="FF999999"/>
        </top>
        <bottom style="thin">
          <color rgb="FF999999"/>
        </bottom>
        <vertical/>
        <horizontal/>
      </border>
    </dxf>
    <dxf>
      <font>
        <b val="0"/>
        <i val="0"/>
        <strike val="0"/>
        <condense val="0"/>
        <extend val="0"/>
        <outline val="0"/>
        <shadow val="0"/>
        <u val="none"/>
        <vertAlign val="baseline"/>
        <sz val="10"/>
        <color rgb="FF000000"/>
        <name val="Arial"/>
        <family val="2"/>
        <scheme val="none"/>
      </font>
      <fill>
        <patternFill patternType="solid">
          <fgColor rgb="FFEDF7FC"/>
          <bgColor rgb="FFFDF0F0"/>
        </patternFill>
      </fill>
      <alignment horizontal="general" vertical="top" textRotation="0" wrapText="1" indent="0" justifyLastLine="0" shrinkToFit="0" readingOrder="0"/>
      <border diagonalUp="0" diagonalDown="0">
        <left style="thin">
          <color rgb="FF999999"/>
        </left>
        <right style="thin">
          <color rgb="FF999999"/>
        </right>
        <top style="thin">
          <color rgb="FF999999"/>
        </top>
        <bottom style="thin">
          <color rgb="FF999999"/>
        </bottom>
        <vertical/>
        <horizontal/>
      </border>
    </dxf>
    <dxf>
      <font>
        <b val="0"/>
        <i val="0"/>
        <strike val="0"/>
        <condense val="0"/>
        <extend val="0"/>
        <outline val="0"/>
        <shadow val="0"/>
        <u val="none"/>
        <vertAlign val="baseline"/>
        <sz val="10"/>
        <color rgb="FF000000"/>
        <name val="Arial"/>
        <family val="2"/>
        <scheme val="none"/>
      </font>
      <fill>
        <patternFill patternType="solid">
          <fgColor rgb="FFFDF0F0"/>
          <bgColor rgb="FFEDF7FC"/>
        </patternFill>
      </fill>
      <alignment horizontal="left" vertical="bottom" textRotation="0" wrapText="1" indent="0" justifyLastLine="0" shrinkToFit="0" readingOrder="0"/>
      <border diagonalUp="0" diagonalDown="0">
        <left style="thin">
          <color rgb="FF999999"/>
        </left>
        <right style="medium">
          <color rgb="FF444444"/>
        </right>
        <top style="thin">
          <color rgb="FF999999"/>
        </top>
        <bottom style="thin">
          <color rgb="FF999999"/>
        </bottom>
        <vertical/>
        <horizontal/>
      </border>
      <protection locked="0" hidden="0"/>
    </dxf>
    <dxf>
      <font>
        <b val="0"/>
        <i val="0"/>
        <strike val="0"/>
        <condense val="0"/>
        <extend val="0"/>
        <outline val="0"/>
        <shadow val="0"/>
        <u val="none"/>
        <vertAlign val="baseline"/>
        <sz val="10"/>
        <color rgb="FF000000"/>
        <name val="Arial"/>
        <family val="2"/>
        <scheme val="none"/>
      </font>
      <fill>
        <patternFill patternType="solid">
          <fgColor rgb="FFFDF0F0"/>
          <bgColor rgb="FFEDF7FC"/>
        </patternFill>
      </fill>
      <alignment horizontal="left" vertical="bottom" textRotation="0" wrapText="1" indent="0" justifyLastLine="0" shrinkToFit="0" readingOrder="0"/>
      <border diagonalUp="0" diagonalDown="0">
        <left style="thin">
          <color rgb="FF999999"/>
        </left>
        <right style="thin">
          <color rgb="FF999999"/>
        </right>
        <top style="thin">
          <color rgb="FF999999"/>
        </top>
        <bottom style="thin">
          <color rgb="FF999999"/>
        </bottom>
        <vertical/>
        <horizontal/>
      </border>
      <protection locked="0" hidden="0"/>
    </dxf>
    <dxf>
      <font>
        <b val="0"/>
        <i val="0"/>
        <strike val="0"/>
        <condense val="0"/>
        <extend val="0"/>
        <outline val="0"/>
        <shadow val="0"/>
        <u val="none"/>
        <vertAlign val="baseline"/>
        <sz val="10"/>
        <color rgb="FF000000"/>
        <name val="Arial"/>
        <family val="2"/>
        <scheme val="none"/>
      </font>
      <fill>
        <patternFill patternType="solid">
          <fgColor rgb="FFEDF7FC"/>
          <bgColor rgb="FFFDF0F0"/>
        </patternFill>
      </fill>
      <alignment horizontal="general" vertical="top" textRotation="0" wrapText="1" indent="0" justifyLastLine="0" shrinkToFit="0" readingOrder="0"/>
      <border diagonalUp="0" diagonalDown="0">
        <left style="thin">
          <color rgb="FF999999"/>
        </left>
        <right style="thin">
          <color rgb="FF999999"/>
        </right>
        <top style="thin">
          <color rgb="FF999999"/>
        </top>
        <bottom style="thin">
          <color rgb="FF999999"/>
        </bottom>
        <vertical/>
        <horizontal/>
      </border>
    </dxf>
    <dxf>
      <font>
        <b val="0"/>
        <i val="0"/>
        <strike val="0"/>
        <condense val="0"/>
        <extend val="0"/>
        <outline val="0"/>
        <shadow val="0"/>
        <u val="none"/>
        <vertAlign val="baseline"/>
        <sz val="10"/>
        <color rgb="FF000000"/>
        <name val="Arial"/>
        <family val="2"/>
        <scheme val="none"/>
      </font>
      <fill>
        <patternFill patternType="solid">
          <fgColor rgb="FFEDF7FC"/>
          <bgColor rgb="FFFDF0F0"/>
        </patternFill>
      </fill>
      <alignment horizontal="general" vertical="top" textRotation="0" wrapText="1" indent="0" justifyLastLine="0" shrinkToFit="0" readingOrder="0"/>
      <border diagonalUp="0" diagonalDown="0">
        <left style="thin">
          <color rgb="FF999999"/>
        </left>
        <right style="thin">
          <color rgb="FF999999"/>
        </right>
        <top style="thin">
          <color rgb="FF999999"/>
        </top>
        <bottom style="thin">
          <color rgb="FF999999"/>
        </bottom>
        <vertical/>
        <horizontal/>
      </border>
    </dxf>
    <dxf>
      <font>
        <b val="0"/>
        <i val="0"/>
        <strike val="0"/>
        <condense val="0"/>
        <extend val="0"/>
        <outline val="0"/>
        <shadow val="0"/>
        <u val="none"/>
        <vertAlign val="baseline"/>
        <sz val="10"/>
        <color rgb="FF000000"/>
        <name val="Arial"/>
        <family val="2"/>
        <scheme val="none"/>
      </font>
      <fill>
        <patternFill patternType="solid">
          <fgColor rgb="FFFDF0F0"/>
          <bgColor rgb="FFEDF7FC"/>
        </patternFill>
      </fill>
      <alignment horizontal="left" vertical="bottom" textRotation="0" wrapText="1" indent="0" justifyLastLine="0" shrinkToFit="0" readingOrder="0"/>
      <border diagonalUp="0" diagonalDown="0">
        <left style="thin">
          <color rgb="FF999999"/>
        </left>
        <right style="medium">
          <color rgb="FF444444"/>
        </right>
        <top style="thin">
          <color rgb="FF999999"/>
        </top>
        <bottom style="thin">
          <color rgb="FF999999"/>
        </bottom>
        <vertical/>
        <horizontal/>
      </border>
      <protection locked="0" hidden="0"/>
    </dxf>
    <dxf>
      <font>
        <b val="0"/>
        <i val="0"/>
        <strike val="0"/>
        <condense val="0"/>
        <extend val="0"/>
        <outline val="0"/>
        <shadow val="0"/>
        <u val="none"/>
        <vertAlign val="baseline"/>
        <sz val="10"/>
        <color rgb="FF000000"/>
        <name val="Arial"/>
        <family val="2"/>
        <scheme val="none"/>
      </font>
      <fill>
        <patternFill patternType="solid">
          <fgColor rgb="FFFDF0F0"/>
          <bgColor rgb="FFEDF7FC"/>
        </patternFill>
      </fill>
      <alignment horizontal="left" vertical="bottom" textRotation="0" wrapText="1" indent="0" justifyLastLine="0" shrinkToFit="0" readingOrder="0"/>
      <border diagonalUp="0" diagonalDown="0">
        <left style="thin">
          <color rgb="FF999999"/>
        </left>
        <right style="thin">
          <color rgb="FF999999"/>
        </right>
        <top style="thin">
          <color rgb="FF999999"/>
        </top>
        <bottom style="thin">
          <color rgb="FF999999"/>
        </bottom>
        <vertical/>
        <horizontal/>
      </border>
      <protection locked="0" hidden="0"/>
    </dxf>
    <dxf>
      <font>
        <b val="0"/>
        <i val="0"/>
        <strike val="0"/>
        <condense val="0"/>
        <extend val="0"/>
        <outline val="0"/>
        <shadow val="0"/>
        <u val="none"/>
        <vertAlign val="baseline"/>
        <sz val="10"/>
        <color rgb="FF000000"/>
        <name val="Arial"/>
        <family val="2"/>
        <scheme val="none"/>
      </font>
      <fill>
        <patternFill patternType="solid">
          <fgColor rgb="FFEDF7FC"/>
          <bgColor rgb="FFFDF0F0"/>
        </patternFill>
      </fill>
      <alignment horizontal="general" vertical="top" textRotation="0" wrapText="1" indent="0" justifyLastLine="0" shrinkToFit="0" readingOrder="0"/>
      <border diagonalUp="0" diagonalDown="0">
        <left style="thin">
          <color rgb="FF999999"/>
        </left>
        <right style="thin">
          <color rgb="FF999999"/>
        </right>
        <top style="thin">
          <color rgb="FF999999"/>
        </top>
        <bottom style="thin">
          <color rgb="FF999999"/>
        </bottom>
        <vertical/>
        <horizontal/>
      </border>
    </dxf>
    <dxf>
      <font>
        <b val="0"/>
        <i val="0"/>
        <strike val="0"/>
        <condense val="0"/>
        <extend val="0"/>
        <outline val="0"/>
        <shadow val="0"/>
        <u val="none"/>
        <vertAlign val="baseline"/>
        <sz val="10"/>
        <color rgb="FF000000"/>
        <name val="Arial"/>
        <family val="2"/>
        <scheme val="none"/>
      </font>
      <fill>
        <patternFill patternType="solid">
          <fgColor rgb="FFEDF7FC"/>
          <bgColor rgb="FFFDF0F0"/>
        </patternFill>
      </fill>
      <alignment horizontal="general" vertical="top" textRotation="0" wrapText="1" indent="0" justifyLastLine="0" shrinkToFit="0" readingOrder="0"/>
      <border diagonalUp="0" diagonalDown="0">
        <left style="thin">
          <color rgb="FF999999"/>
        </left>
        <right style="thin">
          <color rgb="FF999999"/>
        </right>
        <top style="thin">
          <color rgb="FF999999"/>
        </top>
        <bottom style="thin">
          <color rgb="FF999999"/>
        </bottom>
        <vertical/>
        <horizontal/>
      </border>
    </dxf>
    <dxf>
      <font>
        <b val="0"/>
        <i val="0"/>
        <strike val="0"/>
        <condense val="0"/>
        <extend val="0"/>
        <outline val="0"/>
        <shadow val="0"/>
        <u val="none"/>
        <vertAlign val="baseline"/>
        <sz val="10"/>
        <color rgb="FF000000"/>
        <name val="Arial"/>
        <family val="2"/>
        <scheme val="none"/>
      </font>
      <fill>
        <patternFill patternType="solid">
          <fgColor rgb="FFFDF0F0"/>
          <bgColor rgb="FFEDF7FC"/>
        </patternFill>
      </fill>
      <alignment horizontal="left" vertical="bottom" textRotation="0" wrapText="1" indent="0" justifyLastLine="0" shrinkToFit="0" readingOrder="0"/>
      <border diagonalUp="0" diagonalDown="0">
        <left style="thin">
          <color rgb="FF999999"/>
        </left>
        <right style="medium">
          <color rgb="FF444444"/>
        </right>
        <top style="thin">
          <color rgb="FF999999"/>
        </top>
        <bottom style="thin">
          <color rgb="FF999999"/>
        </bottom>
        <vertical/>
        <horizontal/>
      </border>
      <protection locked="0" hidden="0"/>
    </dxf>
    <dxf>
      <font>
        <b val="0"/>
        <i val="0"/>
        <strike val="0"/>
        <condense val="0"/>
        <extend val="0"/>
        <outline val="0"/>
        <shadow val="0"/>
        <u val="none"/>
        <vertAlign val="baseline"/>
        <sz val="10"/>
        <color rgb="FF000000"/>
        <name val="Arial"/>
        <family val="2"/>
        <scheme val="none"/>
      </font>
      <fill>
        <patternFill patternType="solid">
          <fgColor rgb="FFFDF0F0"/>
          <bgColor rgb="FFEDF7FC"/>
        </patternFill>
      </fill>
      <alignment horizontal="left" vertical="bottom" textRotation="0" wrapText="1" indent="0" justifyLastLine="0" shrinkToFit="0" readingOrder="0"/>
      <border diagonalUp="0" diagonalDown="0">
        <left style="thin">
          <color rgb="FF999999"/>
        </left>
        <right style="thin">
          <color rgb="FF999999"/>
        </right>
        <top style="thin">
          <color rgb="FF999999"/>
        </top>
        <bottom style="thin">
          <color rgb="FF999999"/>
        </bottom>
        <vertical/>
        <horizontal/>
      </border>
      <protection locked="0" hidden="0"/>
    </dxf>
    <dxf>
      <alignment horizontal="left" vertical="top" textRotation="0" wrapText="1" indent="0" justifyLastLine="0" shrinkToFit="0" readingOrder="0"/>
      <border outline="0">
        <left style="thin">
          <color rgb="FF999999"/>
        </left>
      </border>
    </dxf>
    <dxf>
      <font>
        <sz val="10"/>
        <color rgb="FF000000"/>
        <name val="Arial"/>
        <family val="2"/>
      </font>
      <fill>
        <patternFill patternType="solid">
          <fgColor rgb="FFEDF7FC"/>
          <bgColor rgb="FFFDF0F0"/>
        </patternFill>
      </fill>
      <alignment horizontal="general" vertical="top" textRotation="0" wrapText="1" indent="0" justifyLastLine="0" shrinkToFit="0" readingOrder="0"/>
      <border diagonalUp="0" diagonalDown="0" outline="0">
        <left style="thin">
          <color rgb="FF999999"/>
        </left>
        <right style="thin">
          <color rgb="FF999999"/>
        </right>
        <top style="thin">
          <color rgb="FF999999"/>
        </top>
        <bottom style="thin">
          <color rgb="FF999999"/>
        </bottom>
      </border>
    </dxf>
    <dxf>
      <border outline="0">
        <right style="thin">
          <color rgb="FF999999"/>
        </right>
      </border>
    </dxf>
    <dxf>
      <alignment horizontal="left" vertical="bottom" textRotation="0" wrapText="1" indent="0" justifyLastLine="0" shrinkToFit="0" readingOrder="0"/>
      <border outline="0">
        <left style="medium">
          <color rgb="FF444444"/>
        </left>
      </border>
    </dxf>
    <dxf>
      <alignment horizontal="left" vertical="bottom" textRotation="0" wrapText="1" indent="0" justifyLastLine="0" shrinkToFit="0" readingOrder="0"/>
      <border diagonalUp="0" diagonalDown="0">
        <left style="thin">
          <color indexed="64"/>
        </left>
        <right style="thin">
          <color indexed="64"/>
        </right>
        <vertical/>
      </border>
    </dxf>
    <dxf>
      <border outline="0">
        <right style="thin">
          <color rgb="FF999999"/>
        </right>
      </border>
    </dxf>
    <dxf>
      <alignment horizontal="left" vertical="bottom" textRotation="0" wrapText="1" indent="0" justifyLastLine="0" shrinkToFit="0" readingOrder="0"/>
    </dxf>
    <dxf>
      <border outline="0">
        <right style="thin">
          <color rgb="FF999999"/>
        </right>
      </border>
    </dxf>
    <dxf>
      <font>
        <b val="0"/>
        <i val="0"/>
        <strike val="0"/>
        <condense val="0"/>
        <extend val="0"/>
        <outline val="0"/>
        <shadow val="0"/>
        <u val="none"/>
        <vertAlign val="baseline"/>
        <sz val="10"/>
        <color rgb="FF000000"/>
        <name val="Arial"/>
        <family val="2"/>
        <scheme val="none"/>
      </font>
      <fill>
        <patternFill patternType="solid">
          <fgColor rgb="FFEDF7FC"/>
          <bgColor rgb="FFFDF0F0"/>
        </patternFill>
      </fill>
      <alignment horizontal="left" vertical="bottom" textRotation="0" wrapText="1" indent="0" justifyLastLine="0" shrinkToFit="0" readingOrder="0"/>
      <border diagonalUp="0" diagonalDown="0">
        <left style="thin">
          <color rgb="FF999999"/>
        </left>
        <right style="medium">
          <color rgb="FF444444"/>
        </right>
        <top style="thin">
          <color rgb="FF999999"/>
        </top>
        <bottom style="thin">
          <color rgb="FF999999"/>
        </bottom>
        <vertical/>
        <horizontal/>
      </border>
      <protection locked="0" hidden="0"/>
    </dxf>
    <dxf>
      <font>
        <b val="0"/>
        <i val="0"/>
        <strike val="0"/>
        <condense val="0"/>
        <extend val="0"/>
        <outline val="0"/>
        <shadow val="0"/>
        <u val="none"/>
        <vertAlign val="baseline"/>
        <sz val="10"/>
        <color rgb="FF000000"/>
        <name val="Arial"/>
        <family val="2"/>
        <scheme val="none"/>
      </font>
      <fill>
        <patternFill patternType="solid">
          <fgColor rgb="FFFDF0F0"/>
          <bgColor rgb="FFEDF7FC"/>
        </patternFill>
      </fill>
      <alignment horizontal="left" vertical="bottom" textRotation="0" wrapText="1" indent="0" justifyLastLine="0" shrinkToFit="0" readingOrder="0"/>
      <border diagonalUp="0" diagonalDown="0">
        <left style="thin">
          <color rgb="FF999999"/>
        </left>
        <right style="medium">
          <color rgb="FF444444"/>
        </right>
        <top style="thin">
          <color rgb="FF999999"/>
        </top>
        <bottom style="thin">
          <color rgb="FF999999"/>
        </bottom>
        <vertical/>
        <horizontal/>
      </border>
      <protection locked="0" hidden="0"/>
    </dxf>
    <dxf>
      <font>
        <b val="0"/>
        <i val="0"/>
        <strike val="0"/>
        <condense val="0"/>
        <extend val="0"/>
        <outline val="0"/>
        <shadow val="0"/>
        <u val="none"/>
        <vertAlign val="baseline"/>
        <sz val="10"/>
        <color rgb="FF000000"/>
        <name val="Arial"/>
        <family val="2"/>
        <scheme val="none"/>
      </font>
      <fill>
        <patternFill patternType="solid">
          <fgColor rgb="FFFDF0F0"/>
          <bgColor rgb="FFEDF7FC"/>
        </patternFill>
      </fill>
      <alignment horizontal="left" vertical="bottom" textRotation="0" wrapText="1" indent="0" justifyLastLine="0" shrinkToFit="0" readingOrder="0"/>
      <border diagonalUp="0" diagonalDown="0">
        <left style="thin">
          <color rgb="FF999999"/>
        </left>
        <right style="medium">
          <color rgb="FF444444"/>
        </right>
        <top style="thin">
          <color rgb="FF999999"/>
        </top>
        <bottom style="thin">
          <color rgb="FF999999"/>
        </bottom>
        <vertical/>
        <horizontal/>
      </border>
      <protection locked="0" hidden="0"/>
    </dxf>
    <dxf>
      <alignment horizontal="left" vertical="bottom" textRotation="0" wrapText="1" indent="0" justifyLastLine="0" shrinkToFit="0" readingOrder="0"/>
    </dxf>
    <dxf>
      <border outline="0">
        <right style="thin">
          <color rgb="FF999999"/>
        </right>
      </border>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CCCCC"/>
      <rgbColor rgb="FF888888"/>
      <rgbColor rgb="FF9999FF"/>
      <rgbColor rgb="FF993366"/>
      <rgbColor rgb="FFFDF0F0"/>
      <rgbColor rgb="FFEDF7FC"/>
      <rgbColor rgb="FF660066"/>
      <rgbColor rgb="FFFF8080"/>
      <rgbColor rgb="FF0066CC"/>
      <rgbColor rgb="FFB3E3F6"/>
      <rgbColor rgb="FF000080"/>
      <rgbColor rgb="FFFF00FF"/>
      <rgbColor rgb="FFFFFF00"/>
      <rgbColor rgb="FF00FFFF"/>
      <rgbColor rgb="FF800080"/>
      <rgbColor rgb="FF800000"/>
      <rgbColor rgb="FF008080"/>
      <rgbColor rgb="FF0000FF"/>
      <rgbColor rgb="FF00A1E1"/>
      <rgbColor rgb="FFCCFFFF"/>
      <rgbColor rgb="FFCCFFCC"/>
      <rgbColor rgb="FFFFFF99"/>
      <rgbColor rgb="FF99CCFF"/>
      <rgbColor rgb="FFFF99CC"/>
      <rgbColor rgb="FFCC99FF"/>
      <rgbColor rgb="FFFACAC9"/>
      <rgbColor rgb="FF3366FF"/>
      <rgbColor rgb="FF33CCCC"/>
      <rgbColor rgb="FF99CC00"/>
      <rgbColor rgb="FFFFCC00"/>
      <rgbColor rgb="FFFF9900"/>
      <rgbColor rgb="FFFF6600"/>
      <rgbColor rgb="FF666699"/>
      <rgbColor rgb="FF999999"/>
      <rgbColor rgb="FF003366"/>
      <rgbColor rgb="FF339966"/>
      <rgbColor rgb="FF003300"/>
      <rgbColor rgb="FF1A1A1A"/>
      <rgbColor rgb="FFE6302B"/>
      <rgbColor rgb="FF993366"/>
      <rgbColor rgb="FF333399"/>
      <rgbColor rgb="FF444444"/>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3.xml"/><Relationship Id="rId5" Type="http://schemas.openxmlformats.org/officeDocument/2006/relationships/styles" Target="style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el1" displayName="Tabel1" ref="A1:K7" totalsRowShown="0" headerRowDxfId="14" headerRowBorderDxfId="13" tableBorderDxfId="12" totalsRowBorderDxfId="11">
  <autoFilter ref="A1:K7" xr:uid="{00000000-0009-0000-0100-000001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00000000-0010-0000-0000-000001000000}" name="LU" dataDxfId="10"/>
    <tableColumn id="2" xr3:uid="{00000000-0010-0000-0000-000002000000}" name="Doel" dataDxfId="9"/>
    <tableColumn id="3" xr3:uid="{00000000-0010-0000-0000-000003000000}" name="Behaald" dataDxfId="8"/>
    <tableColumn id="4" xr3:uid="{00000000-0010-0000-0000-000004000000}" name="Sprint 1" dataDxfId="7"/>
    <tableColumn id="5" xr3:uid="{00000000-0010-0000-0000-000005000000}" name="Sprint 2" dataDxfId="6"/>
    <tableColumn id="6" xr3:uid="{00000000-0010-0000-0000-000006000000}" name="Sprint 3" dataDxfId="5"/>
    <tableColumn id="7" xr3:uid="{00000000-0010-0000-0000-000007000000}" name="Sprint 4" dataDxfId="4"/>
    <tableColumn id="8" xr3:uid="{00000000-0010-0000-0000-000008000000}" name="Sprint 5" dataDxfId="3"/>
    <tableColumn id="9" xr3:uid="{00000000-0010-0000-0000-000009000000}" name="Sprint 6" dataDxfId="2"/>
    <tableColumn id="10" xr3:uid="{00000000-0010-0000-0000-00000A000000}" name="Sprint 7" dataDxfId="1"/>
    <tableColumn id="11" xr3:uid="{00000000-0010-0000-0000-00000B000000}" name="Sprint 8" dataDxfId="0"/>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el2" displayName="Tabel2" ref="A4:D9" totalsRowShown="0">
  <tableColumns count="4">
    <tableColumn id="1" xr3:uid="{00000000-0010-0000-0100-000001000000}" name="Story"/>
    <tableColumn id="2" xr3:uid="{00000000-0010-0000-0100-000002000000}" name="Story Omschrijving"/>
    <tableColumn id="3" xr3:uid="{00000000-0010-0000-0100-000003000000}" name="Acceptatie Criteria"/>
    <tableColumn id="4" xr3:uid="{00000000-0010-0000-0100-000004000000}" name="Kwaliteitscriteria"/>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el213" displayName="Tabel213" ref="A32:D37" totalsRowShown="0">
  <tableColumns count="4">
    <tableColumn id="1" xr3:uid="{00000000-0010-0000-0200-000001000000}" name="Story"/>
    <tableColumn id="2" xr3:uid="{00000000-0010-0000-0200-000002000000}" name="Story Omschrijving"/>
    <tableColumn id="3" xr3:uid="{00000000-0010-0000-0200-000003000000}" name="Acceptatie Criteria"/>
    <tableColumn id="4" xr3:uid="{00000000-0010-0000-0200-000004000000}" name="Kwaliteitscriteria"/>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el21317" displayName="Tabel21317" ref="A60:D65" totalsRowShown="0">
  <tableColumns count="4">
    <tableColumn id="1" xr3:uid="{00000000-0010-0000-0300-000001000000}" name="Story"/>
    <tableColumn id="2" xr3:uid="{00000000-0010-0000-0300-000002000000}" name="Story Omschrijving"/>
    <tableColumn id="3" xr3:uid="{00000000-0010-0000-0300-000003000000}" name="Acceptatie Criteria"/>
    <tableColumn id="4" xr3:uid="{00000000-0010-0000-0300-000004000000}" name="Kwaliteitscriteria"/>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el2131721" displayName="Tabel2131721" ref="A88:D93" totalsRowShown="0">
  <tableColumns count="4">
    <tableColumn id="1" xr3:uid="{00000000-0010-0000-0400-000001000000}" name="Story"/>
    <tableColumn id="2" xr3:uid="{00000000-0010-0000-0400-000002000000}" name="Story Omschrijving"/>
    <tableColumn id="3" xr3:uid="{00000000-0010-0000-0400-000003000000}" name="Acceptatie Criteria"/>
    <tableColumn id="4" xr3:uid="{00000000-0010-0000-0400-000004000000}" name="Kwaliteitscriteria"/>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el213172125" displayName="Tabel213172125" ref="A116:D121" totalsRowShown="0">
  <tableColumns count="4">
    <tableColumn id="1" xr3:uid="{00000000-0010-0000-0500-000001000000}" name="Story"/>
    <tableColumn id="2" xr3:uid="{00000000-0010-0000-0500-000002000000}" name="Story Omschrijving"/>
    <tableColumn id="3" xr3:uid="{00000000-0010-0000-0500-000003000000}" name="Acceptatie Criteria"/>
    <tableColumn id="4" xr3:uid="{00000000-0010-0000-0500-000004000000}" name="Kwaliteitscriteria"/>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el21317212529" displayName="Tabel21317212529" ref="A144:D149" totalsRowShown="0">
  <tableColumns count="4">
    <tableColumn id="1" xr3:uid="{00000000-0010-0000-0600-000001000000}" name="Story"/>
    <tableColumn id="2" xr3:uid="{00000000-0010-0000-0600-000002000000}" name="Story Omschrijving"/>
    <tableColumn id="3" xr3:uid="{00000000-0010-0000-0600-000003000000}" name="Acceptatie Criteria"/>
    <tableColumn id="4" xr3:uid="{00000000-0010-0000-0600-000004000000}" name="Kwaliteitscriteria"/>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el2131721252933" displayName="Tabel2131721252933" ref="A172:D177" totalsRowShown="0">
  <tableColumns count="4">
    <tableColumn id="1" xr3:uid="{00000000-0010-0000-0700-000001000000}" name="Story"/>
    <tableColumn id="2" xr3:uid="{00000000-0010-0000-0700-000002000000}" name="Story Omschrijving"/>
    <tableColumn id="3" xr3:uid="{00000000-0010-0000-0700-000003000000}" name="Acceptatie Criteria"/>
    <tableColumn id="4" xr3:uid="{00000000-0010-0000-0700-000004000000}" name="Kwaliteitscriteria"/>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el213172125293337" displayName="Tabel213172125293337" ref="A200:D205" totalsRowShown="0">
  <tableColumns count="4">
    <tableColumn id="1" xr3:uid="{00000000-0010-0000-0800-000001000000}" name="Story"/>
    <tableColumn id="2" xr3:uid="{00000000-0010-0000-0800-000002000000}" name="Story Omschrijving"/>
    <tableColumn id="3" xr3:uid="{00000000-0010-0000-0800-000003000000}" name="Acceptatie Criteria"/>
    <tableColumn id="4" xr3:uid="{00000000-0010-0000-0800-000004000000}" name="Kwaliteitscriteria"/>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el5" displayName="Tabel5" ref="A17:D22" totalsRowShown="0">
  <autoFilter ref="A17:D22" xr:uid="{00000000-0009-0000-0100-00000A000000}">
    <filterColumn colId="0" hiddenButton="1"/>
    <filterColumn colId="1" hiddenButton="1"/>
    <filterColumn colId="2" hiddenButton="1"/>
    <filterColumn colId="3" hiddenButton="1"/>
  </autoFilter>
  <tableColumns count="4">
    <tableColumn id="1" xr3:uid="{00000000-0010-0000-0900-000001000000}" name="LU"/>
    <tableColumn id="2" xr3:uid="{00000000-0010-0000-0900-000002000000}" name="Leeruitkomst"/>
    <tableColumn id="3" xr3:uid="{00000000-0010-0000-0900-000003000000}" name="Niveau" dataDxfId="39"/>
    <tableColumn id="4" xr3:uid="{00000000-0010-0000-0900-000004000000}" name="Argumentatie en bewijs" dataDxfId="38"/>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el514" displayName="Tabel514" ref="A45:D50" totalsRowShown="0">
  <tableColumns count="4">
    <tableColumn id="1" xr3:uid="{00000000-0010-0000-0A00-000001000000}" name="LU"/>
    <tableColumn id="2" xr3:uid="{00000000-0010-0000-0A00-000002000000}" name="Leeruitkomst"/>
    <tableColumn id="3" xr3:uid="{00000000-0010-0000-0A00-000003000000}" name="Niveau"/>
    <tableColumn id="4" xr3:uid="{00000000-0010-0000-0A00-000004000000}" name="Argumentatie en bewijs"/>
  </tableColumns>
  <tableStyleInfo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el51418" displayName="Tabel51418" ref="A73:D78" totalsRowShown="0">
  <tableColumns count="4">
    <tableColumn id="1" xr3:uid="{00000000-0010-0000-0B00-000001000000}" name="LU"/>
    <tableColumn id="2" xr3:uid="{00000000-0010-0000-0B00-000002000000}" name="Leeruitkomst"/>
    <tableColumn id="3" xr3:uid="{00000000-0010-0000-0B00-000003000000}" name="Niveau"/>
    <tableColumn id="4" xr3:uid="{00000000-0010-0000-0B00-000004000000}" name="Argumentatie en bewijs"/>
  </tableColumns>
  <tableStyleInfo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el5141822" displayName="Tabel5141822" ref="A101:D106" totalsRowShown="0">
  <tableColumns count="4">
    <tableColumn id="1" xr3:uid="{00000000-0010-0000-0C00-000001000000}" name="LU"/>
    <tableColumn id="2" xr3:uid="{00000000-0010-0000-0C00-000002000000}" name="Leeruitkomst"/>
    <tableColumn id="3" xr3:uid="{00000000-0010-0000-0C00-000003000000}" name="Niveau"/>
    <tableColumn id="4" xr3:uid="{00000000-0010-0000-0C00-000004000000}" name="Argumentatie en bewijs" dataDxfId="37"/>
  </tableColumns>
  <tableStyleInfo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abel514182226" displayName="Tabel514182226" ref="A129:D134" totalsRowShown="0">
  <tableColumns count="4">
    <tableColumn id="1" xr3:uid="{00000000-0010-0000-0D00-000001000000}" name="LU"/>
    <tableColumn id="2" xr3:uid="{00000000-0010-0000-0D00-000002000000}" name="Leeruitkomst"/>
    <tableColumn id="3" xr3:uid="{00000000-0010-0000-0D00-000003000000}" name="Niveau"/>
    <tableColumn id="4" xr3:uid="{00000000-0010-0000-0D00-000004000000}" name="Argumentatie en bewijs"/>
  </tableColumns>
  <tableStyleInfo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Tabel51418222630" displayName="Tabel51418222630" ref="A157:D162" totalsRowShown="0">
  <tableColumns count="4">
    <tableColumn id="1" xr3:uid="{00000000-0010-0000-0E00-000001000000}" name="LU"/>
    <tableColumn id="2" xr3:uid="{00000000-0010-0000-0E00-000002000000}" name="Leeruitkomst"/>
    <tableColumn id="3" xr3:uid="{00000000-0010-0000-0E00-000003000000}" name="Niveau"/>
    <tableColumn id="4" xr3:uid="{00000000-0010-0000-0E00-000004000000}" name="Argumentatie en bewijs" dataDxfId="36"/>
  </tableColumns>
  <tableStyleInfo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Tabel5141822263034" displayName="Tabel5141822263034" ref="A185:D190" totalsRowShown="0">
  <tableColumns count="4">
    <tableColumn id="1" xr3:uid="{00000000-0010-0000-0F00-000001000000}" name="LU"/>
    <tableColumn id="2" xr3:uid="{00000000-0010-0000-0F00-000002000000}" name="Leeruitkomst"/>
    <tableColumn id="3" xr3:uid="{00000000-0010-0000-0F00-000003000000}" name="Niveau"/>
    <tableColumn id="4" xr3:uid="{00000000-0010-0000-0F00-000004000000}" name="Argumentatie en bewijs" dataDxfId="35"/>
  </tableColumns>
  <tableStyleInfo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Tabel514182226303438" displayName="Tabel514182226303438" ref="A213:D218" totalsRowShown="0">
  <tableColumns count="4">
    <tableColumn id="1" xr3:uid="{00000000-0010-0000-1000-000001000000}" name="LU"/>
    <tableColumn id="2" xr3:uid="{00000000-0010-0000-1000-000002000000}" name="Leeruitkomst"/>
    <tableColumn id="3" xr3:uid="{00000000-0010-0000-1000-000003000000}" name="Niveau" dataDxfId="34"/>
    <tableColumn id="4" xr3:uid="{00000000-0010-0000-1000-000004000000}" name="Argumentatie en bewijs" dataDxfId="33"/>
  </tableColumns>
  <tableStyleInfo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Tabel6" displayName="Tabel6" ref="A12:D14" totalsRowShown="0">
  <autoFilter ref="A12:D14" xr:uid="{00000000-0009-0000-0100-000012000000}">
    <filterColumn colId="0" hiddenButton="1"/>
    <filterColumn colId="1" hiddenButton="1"/>
    <filterColumn colId="2" hiddenButton="1"/>
    <filterColumn colId="3" hiddenButton="1"/>
  </autoFilter>
  <tableColumns count="4">
    <tableColumn id="1" xr3:uid="{00000000-0010-0000-1100-000001000000}" name="Datum"/>
    <tableColumn id="2" xr3:uid="{00000000-0010-0000-1100-000002000000}" name="Van wie" dataDxfId="32"/>
    <tableColumn id="3" xr3:uid="{00000000-0010-0000-1100-000003000000}" name="Feedback" dataDxfId="31"/>
    <tableColumn id="4" xr3:uid="{00000000-0010-0000-1100-000004000000}" name="Jouw actie" dataDxfId="30"/>
  </tableColumns>
  <tableStyleInfo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el615" displayName="Tabel615" ref="A40:D42" totalsRowShown="0">
  <tableColumns count="4">
    <tableColumn id="1" xr3:uid="{00000000-0010-0000-1200-000001000000}" name="Datum"/>
    <tableColumn id="2" xr3:uid="{00000000-0010-0000-1200-000002000000}" name="Van wie"/>
    <tableColumn id="3" xr3:uid="{00000000-0010-0000-1200-000003000000}" name="Feedback"/>
    <tableColumn id="4" xr3:uid="{00000000-0010-0000-1200-000004000000}" name="Jouw actie"/>
  </tableColumns>
  <tableStyleInfo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Tabel61519" displayName="Tabel61519" ref="A68:D70" totalsRowShown="0">
  <tableColumns count="4">
    <tableColumn id="1" xr3:uid="{00000000-0010-0000-1300-000001000000}" name="Datum"/>
    <tableColumn id="2" xr3:uid="{00000000-0010-0000-1300-000002000000}" name="Van wie"/>
    <tableColumn id="3" xr3:uid="{00000000-0010-0000-1300-000003000000}" name="Feedback"/>
    <tableColumn id="4" xr3:uid="{00000000-0010-0000-1300-000004000000}" name="Jouw actie"/>
  </tableColumns>
  <tableStyleInfo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Tabel6151923" displayName="Tabel6151923" ref="A96:D98" totalsRowShown="0">
  <tableColumns count="4">
    <tableColumn id="1" xr3:uid="{00000000-0010-0000-1400-000001000000}" name="Datum"/>
    <tableColumn id="2" xr3:uid="{00000000-0010-0000-1400-000002000000}" name="Van wie"/>
    <tableColumn id="3" xr3:uid="{00000000-0010-0000-1400-000003000000}" name="Feedback"/>
    <tableColumn id="4" xr3:uid="{00000000-0010-0000-1400-000004000000}" name="Jouw actie"/>
  </tableColumns>
  <tableStyleInfo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5000000}" name="Tabel615192327" displayName="Tabel615192327" ref="A124:D126" totalsRowShown="0">
  <tableColumns count="4">
    <tableColumn id="1" xr3:uid="{00000000-0010-0000-1500-000001000000}" name="Datum"/>
    <tableColumn id="2" xr3:uid="{00000000-0010-0000-1500-000002000000}" name="Van wie"/>
    <tableColumn id="3" xr3:uid="{00000000-0010-0000-1500-000003000000}" name="Feedback"/>
    <tableColumn id="4" xr3:uid="{00000000-0010-0000-1500-000004000000}" name="Jouw actie"/>
  </tableColumns>
  <tableStyleInfo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6000000}" name="Tabel61519232731" displayName="Tabel61519232731" ref="A152:D154" totalsRowShown="0">
  <tableColumns count="4">
    <tableColumn id="1" xr3:uid="{00000000-0010-0000-1600-000001000000}" name="Datum"/>
    <tableColumn id="2" xr3:uid="{00000000-0010-0000-1600-000002000000}" name="Van wie"/>
    <tableColumn id="3" xr3:uid="{00000000-0010-0000-1600-000003000000}" name="Feedback"/>
    <tableColumn id="4" xr3:uid="{00000000-0010-0000-1600-000004000000}" name="Jouw actie"/>
  </tableColumns>
  <tableStyleInfo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7000000}" name="Tabel6151923273135" displayName="Tabel6151923273135" ref="A180:D182" totalsRowShown="0">
  <tableColumns count="4">
    <tableColumn id="1" xr3:uid="{00000000-0010-0000-1700-000001000000}" name="Datum"/>
    <tableColumn id="2" xr3:uid="{00000000-0010-0000-1700-000002000000}" name="Van wie"/>
    <tableColumn id="3" xr3:uid="{00000000-0010-0000-1700-000003000000}" name="Feedback"/>
    <tableColumn id="4" xr3:uid="{00000000-0010-0000-1700-000004000000}" name="Jouw actie"/>
  </tableColumns>
  <tableStyleInfo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8000000}" name="Tabel615192327313539" displayName="Tabel615192327313539" ref="A208:D210" totalsRowShown="0">
  <tableColumns count="4">
    <tableColumn id="1" xr3:uid="{00000000-0010-0000-1800-000001000000}" name="Datum"/>
    <tableColumn id="2" xr3:uid="{00000000-0010-0000-1800-000002000000}" name="Van wie"/>
    <tableColumn id="3" xr3:uid="{00000000-0010-0000-1800-000003000000}" name="Feedback"/>
    <tableColumn id="4" xr3:uid="{00000000-0010-0000-1800-000004000000}" name="Jouw actie"/>
  </tableColumns>
  <tableStyleInfo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9000000}" name="Tabel7" displayName="Tabel7" ref="A25:D27" totalsRowShown="0">
  <autoFilter ref="A25:D27" xr:uid="{00000000-0009-0000-0100-00001A000000}">
    <filterColumn colId="0" hiddenButton="1"/>
    <filterColumn colId="1" hiddenButton="1"/>
    <filterColumn colId="2" hiddenButton="1"/>
    <filterColumn colId="3" hiddenButton="1"/>
  </autoFilter>
  <tableColumns count="4">
    <tableColumn id="1" xr3:uid="{00000000-0010-0000-1900-000001000000}" name="Datum"/>
    <tableColumn id="2" xr3:uid="{00000000-0010-0000-1900-000002000000}" name="Wat heb je geleerd?" dataDxfId="29"/>
    <tableColumn id="3" xr3:uid="{00000000-0010-0000-1900-000003000000}" name="Wat behoud je?" dataDxfId="28"/>
    <tableColumn id="4" xr3:uid="{00000000-0010-0000-1900-000004000000}" name="Wat ga je anders doen?" dataDxfId="27"/>
  </tableColumns>
  <tableStyleInfo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A000000}" name="Tabel716" displayName="Tabel716" ref="A53:D55" totalsRowShown="0">
  <tableColumns count="4">
    <tableColumn id="1" xr3:uid="{00000000-0010-0000-1A00-000001000000}" name="Datum"/>
    <tableColumn id="2" xr3:uid="{00000000-0010-0000-1A00-000002000000}" name="Wat heb je geleerd?"/>
    <tableColumn id="3" xr3:uid="{00000000-0010-0000-1A00-000003000000}" name="Wat behoud je?" dataDxfId="26"/>
    <tableColumn id="4" xr3:uid="{00000000-0010-0000-1A00-000004000000}" name="Wat ga je anders doen?" dataDxfId="25"/>
  </tableColumns>
  <tableStyleInfo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Tabel71620" displayName="Tabel71620" ref="A81:D83" totalsRowShown="0">
  <tableColumns count="4">
    <tableColumn id="1" xr3:uid="{00000000-0010-0000-1B00-000001000000}" name="Datum"/>
    <tableColumn id="2" xr3:uid="{00000000-0010-0000-1B00-000002000000}" name="Wat heb je geleerd?"/>
    <tableColumn id="3" xr3:uid="{00000000-0010-0000-1B00-000003000000}" name="Wat behoud je?" dataDxfId="24"/>
    <tableColumn id="4" xr3:uid="{00000000-0010-0000-1B00-000004000000}" name="Wat ga je anders doen?" dataDxfId="23"/>
  </tableColumns>
  <tableStyleInfo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C000000}" name="Tabel7162024" displayName="Tabel7162024" ref="A109:D111" totalsRowShown="0">
  <tableColumns count="4">
    <tableColumn id="1" xr3:uid="{00000000-0010-0000-1C00-000001000000}" name="Datum"/>
    <tableColumn id="2" xr3:uid="{00000000-0010-0000-1C00-000002000000}" name="Wat heb je geleerd?"/>
    <tableColumn id="3" xr3:uid="{00000000-0010-0000-1C00-000003000000}" name="Wat behoud je?" dataDxfId="22"/>
    <tableColumn id="4" xr3:uid="{00000000-0010-0000-1C00-000004000000}" name="Wat ga je anders doen?" dataDxfId="21"/>
  </tableColumns>
  <tableStyleInfo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D000000}" name="Tabel716202428" displayName="Tabel716202428" ref="A137:D139" totalsRowShown="0">
  <tableColumns count="4">
    <tableColumn id="1" xr3:uid="{00000000-0010-0000-1D00-000001000000}" name="Datum"/>
    <tableColumn id="2" xr3:uid="{00000000-0010-0000-1D00-000002000000}" name="Wat heb je geleerd?"/>
    <tableColumn id="3" xr3:uid="{00000000-0010-0000-1D00-000003000000}" name="Wat behoud je?" dataDxfId="20"/>
    <tableColumn id="4" xr3:uid="{00000000-0010-0000-1D00-000004000000}" name="Wat ga je anders doen?" dataDxfId="19"/>
  </tableColumns>
  <tableStyleInfo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1E000000}" name="Tabel71620242832" displayName="Tabel71620242832" ref="A165:D167" totalsRowShown="0">
  <tableColumns count="4">
    <tableColumn id="1" xr3:uid="{00000000-0010-0000-1E00-000001000000}" name="Datum"/>
    <tableColumn id="2" xr3:uid="{00000000-0010-0000-1E00-000002000000}" name="Wat heb je geleerd?"/>
    <tableColumn id="3" xr3:uid="{00000000-0010-0000-1E00-000003000000}" name="Wat behoud je?" dataDxfId="18"/>
    <tableColumn id="4" xr3:uid="{00000000-0010-0000-1E00-000004000000}" name="Wat ga je anders doen?" dataDxfId="17"/>
  </tableColumns>
  <tableStyleInfo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F000000}" name="Tabel7162024283236" displayName="Tabel7162024283236" ref="A193:D195" totalsRowShown="0">
  <tableColumns count="4">
    <tableColumn id="1" xr3:uid="{00000000-0010-0000-1F00-000001000000}" name="Datum"/>
    <tableColumn id="2" xr3:uid="{00000000-0010-0000-1F00-000002000000}" name="Wat heb je geleerd?"/>
    <tableColumn id="3" xr3:uid="{00000000-0010-0000-1F00-000003000000}" name="Wat behoud je?" dataDxfId="16"/>
    <tableColumn id="4" xr3:uid="{00000000-0010-0000-1F00-000004000000}" name="Wat ga je anders doen?" dataDxfId="15"/>
  </tableColumns>
  <tableStyleInfo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20000000}" name="Tabel716202428323640" displayName="Tabel716202428323640" ref="A221:D222" totalsRowShown="0">
  <tableColumns count="4">
    <tableColumn id="1" xr3:uid="{00000000-0010-0000-2000-000001000000}" name="Datum"/>
    <tableColumn id="2" xr3:uid="{00000000-0010-0000-2000-000002000000}" name="Wat heb je geleerd?"/>
    <tableColumn id="3" xr3:uid="{00000000-0010-0000-2000-000003000000}" name="Wat behoud je?"/>
    <tableColumn id="4" xr3:uid="{00000000-0010-0000-2000-000004000000}" name="Wat ga je anders doen?"/>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3" Type="http://schemas.openxmlformats.org/officeDocument/2006/relationships/table" Target="../tables/table5.xml"/><Relationship Id="rId18" Type="http://schemas.openxmlformats.org/officeDocument/2006/relationships/table" Target="../tables/table10.xml"/><Relationship Id="rId26" Type="http://schemas.openxmlformats.org/officeDocument/2006/relationships/table" Target="../tables/table18.xml"/><Relationship Id="rId39" Type="http://schemas.openxmlformats.org/officeDocument/2006/relationships/table" Target="../tables/table31.xml"/><Relationship Id="rId21" Type="http://schemas.openxmlformats.org/officeDocument/2006/relationships/table" Target="../tables/table13.xml"/><Relationship Id="rId34" Type="http://schemas.openxmlformats.org/officeDocument/2006/relationships/table" Target="../tables/table26.xml"/><Relationship Id="rId7" Type="http://schemas.openxmlformats.org/officeDocument/2006/relationships/hyperlink" Target="https://gemini.google.com/gem/e1643241e823?usp=sharing" TargetMode="External"/><Relationship Id="rId2" Type="http://schemas.openxmlformats.org/officeDocument/2006/relationships/hyperlink" Target="https://gemini.google.com/gem/e1643241e823?usp=sharing" TargetMode="External"/><Relationship Id="rId16" Type="http://schemas.openxmlformats.org/officeDocument/2006/relationships/table" Target="../tables/table8.xml"/><Relationship Id="rId20" Type="http://schemas.openxmlformats.org/officeDocument/2006/relationships/table" Target="../tables/table12.xml"/><Relationship Id="rId29" Type="http://schemas.openxmlformats.org/officeDocument/2006/relationships/table" Target="../tables/table21.xml"/><Relationship Id="rId41" Type="http://schemas.openxmlformats.org/officeDocument/2006/relationships/table" Target="../tables/table33.xml"/><Relationship Id="rId1" Type="http://schemas.openxmlformats.org/officeDocument/2006/relationships/hyperlink" Target="https://gemini.google.com/gem/e1643241e823?usp=sharing" TargetMode="External"/><Relationship Id="rId6" Type="http://schemas.openxmlformats.org/officeDocument/2006/relationships/hyperlink" Target="https://gemini.google.com/gem/e1643241e823?usp=sharing" TargetMode="External"/><Relationship Id="rId11" Type="http://schemas.openxmlformats.org/officeDocument/2006/relationships/table" Target="../tables/table3.xml"/><Relationship Id="rId24" Type="http://schemas.openxmlformats.org/officeDocument/2006/relationships/table" Target="../tables/table16.xml"/><Relationship Id="rId32" Type="http://schemas.openxmlformats.org/officeDocument/2006/relationships/table" Target="../tables/table24.xml"/><Relationship Id="rId37" Type="http://schemas.openxmlformats.org/officeDocument/2006/relationships/table" Target="../tables/table29.xml"/><Relationship Id="rId40" Type="http://schemas.openxmlformats.org/officeDocument/2006/relationships/table" Target="../tables/table32.xml"/><Relationship Id="rId5" Type="http://schemas.openxmlformats.org/officeDocument/2006/relationships/hyperlink" Target="https://gemini.google.com/gem/e1643241e823?usp=sharing" TargetMode="External"/><Relationship Id="rId15" Type="http://schemas.openxmlformats.org/officeDocument/2006/relationships/table" Target="../tables/table7.xml"/><Relationship Id="rId23" Type="http://schemas.openxmlformats.org/officeDocument/2006/relationships/table" Target="../tables/table15.xml"/><Relationship Id="rId28" Type="http://schemas.openxmlformats.org/officeDocument/2006/relationships/table" Target="../tables/table20.xml"/><Relationship Id="rId36" Type="http://schemas.openxmlformats.org/officeDocument/2006/relationships/table" Target="../tables/table28.xml"/><Relationship Id="rId10" Type="http://schemas.openxmlformats.org/officeDocument/2006/relationships/table" Target="../tables/table2.xml"/><Relationship Id="rId19" Type="http://schemas.openxmlformats.org/officeDocument/2006/relationships/table" Target="../tables/table11.xml"/><Relationship Id="rId31" Type="http://schemas.openxmlformats.org/officeDocument/2006/relationships/table" Target="../tables/table23.xml"/><Relationship Id="rId4" Type="http://schemas.openxmlformats.org/officeDocument/2006/relationships/hyperlink" Target="https://gemini.google.com/gem/e1643241e823?usp=sharing" TargetMode="External"/><Relationship Id="rId9" Type="http://schemas.openxmlformats.org/officeDocument/2006/relationships/printerSettings" Target="../printerSettings/printerSettings1.bin"/><Relationship Id="rId14" Type="http://schemas.openxmlformats.org/officeDocument/2006/relationships/table" Target="../tables/table6.xml"/><Relationship Id="rId22" Type="http://schemas.openxmlformats.org/officeDocument/2006/relationships/table" Target="../tables/table14.xml"/><Relationship Id="rId27" Type="http://schemas.openxmlformats.org/officeDocument/2006/relationships/table" Target="../tables/table19.xml"/><Relationship Id="rId30" Type="http://schemas.openxmlformats.org/officeDocument/2006/relationships/table" Target="../tables/table22.xml"/><Relationship Id="rId35" Type="http://schemas.openxmlformats.org/officeDocument/2006/relationships/table" Target="../tables/table27.xml"/><Relationship Id="rId8" Type="http://schemas.openxmlformats.org/officeDocument/2006/relationships/hyperlink" Target="https://gemini.google.com/gem/e1643241e823?usp=sharing" TargetMode="External"/><Relationship Id="rId3" Type="http://schemas.openxmlformats.org/officeDocument/2006/relationships/hyperlink" Target="https://gemini.google.com/gem/e1643241e823?usp=sharing" TargetMode="External"/><Relationship Id="rId12" Type="http://schemas.openxmlformats.org/officeDocument/2006/relationships/table" Target="../tables/table4.xml"/><Relationship Id="rId17" Type="http://schemas.openxmlformats.org/officeDocument/2006/relationships/table" Target="../tables/table9.xml"/><Relationship Id="rId25" Type="http://schemas.openxmlformats.org/officeDocument/2006/relationships/table" Target="../tables/table17.xml"/><Relationship Id="rId33" Type="http://schemas.openxmlformats.org/officeDocument/2006/relationships/table" Target="../tables/table25.xml"/><Relationship Id="rId38" Type="http://schemas.openxmlformats.org/officeDocument/2006/relationships/table" Target="../tables/table3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9"/>
  <sheetViews>
    <sheetView zoomScale="98" zoomScaleNormal="98" workbookViewId="0">
      <selection activeCell="F12" sqref="F12"/>
    </sheetView>
  </sheetViews>
  <sheetFormatPr baseColWidth="10" defaultColWidth="8.6640625" defaultRowHeight="15" x14ac:dyDescent="0.2"/>
  <cols>
    <col min="1" max="1" width="14.5" customWidth="1"/>
    <col min="2" max="2" width="6.5" customWidth="1"/>
    <col min="3" max="3" width="9.5" customWidth="1"/>
    <col min="4" max="11" width="9.1640625" style="1" customWidth="1"/>
  </cols>
  <sheetData>
    <row r="1" spans="1:11" ht="14.25" customHeight="1" x14ac:dyDescent="0.2">
      <c r="A1" s="2" t="s">
        <v>0</v>
      </c>
      <c r="B1" s="3" t="s">
        <v>1</v>
      </c>
      <c r="C1" s="3" t="s">
        <v>2</v>
      </c>
      <c r="D1" s="4" t="s">
        <v>3</v>
      </c>
      <c r="E1" s="5" t="s">
        <v>4</v>
      </c>
      <c r="F1" s="5" t="s">
        <v>5</v>
      </c>
      <c r="G1" s="5" t="s">
        <v>6</v>
      </c>
      <c r="H1" s="5" t="s">
        <v>7</v>
      </c>
      <c r="I1" s="5" t="s">
        <v>8</v>
      </c>
      <c r="J1" s="5" t="s">
        <v>9</v>
      </c>
      <c r="K1" s="6" t="s">
        <v>10</v>
      </c>
    </row>
    <row r="2" spans="1:11" ht="14.25" customHeight="1" x14ac:dyDescent="0.2">
      <c r="A2" s="7" t="s">
        <v>11</v>
      </c>
      <c r="B2" s="8">
        <v>2</v>
      </c>
      <c r="C2" s="8">
        <f>COUNTIF(D2:K2, "V")</f>
        <v>1</v>
      </c>
      <c r="D2" s="9" t="str">
        <f>Logboek!C18</f>
        <v>-</v>
      </c>
      <c r="E2" s="9" t="str">
        <f>Logboek!C46</f>
        <v>V</v>
      </c>
      <c r="F2" s="9" t="str">
        <f>Logboek!C74</f>
        <v>-</v>
      </c>
      <c r="G2" s="9" t="str">
        <f>Logboek!C102</f>
        <v>-</v>
      </c>
      <c r="H2" s="9" t="str">
        <f>Logboek!C130</f>
        <v>-</v>
      </c>
      <c r="I2" s="9" t="str">
        <f>Logboek!C158</f>
        <v>-</v>
      </c>
      <c r="J2" s="9" t="str">
        <f>Logboek!C186</f>
        <v>-</v>
      </c>
      <c r="K2" s="10" t="str">
        <f>Logboek!C214</f>
        <v>-</v>
      </c>
    </row>
    <row r="3" spans="1:11" ht="14.25" customHeight="1" x14ac:dyDescent="0.2">
      <c r="A3" s="7" t="s">
        <v>12</v>
      </c>
      <c r="B3" s="8">
        <v>4</v>
      </c>
      <c r="C3" s="8">
        <f>COUNTIF(D3:K3, "V")</f>
        <v>1</v>
      </c>
      <c r="D3" s="9" t="str">
        <f>Logboek!C19</f>
        <v>-</v>
      </c>
      <c r="E3" s="9" t="str">
        <f>Logboek!C47</f>
        <v>V</v>
      </c>
      <c r="F3" s="9" t="str">
        <f>Logboek!C75</f>
        <v>-</v>
      </c>
      <c r="G3" s="9" t="str">
        <f>Logboek!C103</f>
        <v>-</v>
      </c>
      <c r="H3" s="9" t="str">
        <f>Logboek!C131</f>
        <v>-</v>
      </c>
      <c r="I3" s="9" t="str">
        <f>Logboek!C159</f>
        <v>-</v>
      </c>
      <c r="J3" s="9" t="str">
        <f>Logboek!C187</f>
        <v>-</v>
      </c>
      <c r="K3" s="10" t="str">
        <f>Logboek!C215</f>
        <v>-</v>
      </c>
    </row>
    <row r="4" spans="1:11" ht="14.25" customHeight="1" x14ac:dyDescent="0.2">
      <c r="A4" s="7" t="s">
        <v>13</v>
      </c>
      <c r="B4" s="8">
        <v>2</v>
      </c>
      <c r="C4" s="8">
        <f>COUNTIF(D4:K4, "V")</f>
        <v>0</v>
      </c>
      <c r="D4" s="9" t="str">
        <f>Logboek!C20</f>
        <v>-</v>
      </c>
      <c r="E4" s="9" t="str">
        <f>Logboek!C48</f>
        <v>-</v>
      </c>
      <c r="F4" s="9" t="str">
        <f>Logboek!C76</f>
        <v>-</v>
      </c>
      <c r="G4" s="9" t="str">
        <f>Logboek!C104</f>
        <v>-</v>
      </c>
      <c r="H4" s="9" t="str">
        <f>Logboek!C132</f>
        <v>-</v>
      </c>
      <c r="I4" s="9" t="str">
        <f>Logboek!C160</f>
        <v>-</v>
      </c>
      <c r="J4" s="9" t="str">
        <f>Logboek!C188</f>
        <v>-</v>
      </c>
      <c r="K4" s="10" t="str">
        <f>Logboek!C216</f>
        <v>-</v>
      </c>
    </row>
    <row r="5" spans="1:11" ht="14.25" customHeight="1" x14ac:dyDescent="0.2">
      <c r="A5" s="7" t="s">
        <v>14</v>
      </c>
      <c r="B5" s="8">
        <v>4</v>
      </c>
      <c r="C5" s="8">
        <f>COUNTIF(D5:K5, "V")</f>
        <v>1</v>
      </c>
      <c r="D5" s="9" t="str">
        <f>Logboek!C21</f>
        <v>-</v>
      </c>
      <c r="E5" s="9" t="str">
        <f>Logboek!C49</f>
        <v>V</v>
      </c>
      <c r="F5" s="9" t="str">
        <f>Logboek!C77</f>
        <v>-</v>
      </c>
      <c r="G5" s="9" t="str">
        <f>Logboek!C105</f>
        <v>-</v>
      </c>
      <c r="H5" s="9" t="str">
        <f>Logboek!C133</f>
        <v>-</v>
      </c>
      <c r="I5" s="9" t="str">
        <f>Logboek!C161</f>
        <v>-</v>
      </c>
      <c r="J5" s="9" t="str">
        <f>Logboek!C189</f>
        <v>-</v>
      </c>
      <c r="K5" s="10" t="str">
        <f>Logboek!C217</f>
        <v>-</v>
      </c>
    </row>
    <row r="6" spans="1:11" ht="14.25" customHeight="1" x14ac:dyDescent="0.2">
      <c r="A6" s="7" t="s">
        <v>15</v>
      </c>
      <c r="B6" s="8">
        <v>6</v>
      </c>
      <c r="C6" s="8">
        <f>COUNTIF(D6:K6, "V")</f>
        <v>1</v>
      </c>
      <c r="D6" s="9" t="str">
        <f>Logboek!C22</f>
        <v>-</v>
      </c>
      <c r="E6" s="9" t="str">
        <f>Logboek!C50</f>
        <v>V</v>
      </c>
      <c r="F6" s="9" t="str">
        <f>Logboek!C78</f>
        <v>-</v>
      </c>
      <c r="G6" s="9" t="str">
        <f>Logboek!C106</f>
        <v>-</v>
      </c>
      <c r="H6" s="9" t="str">
        <f>Logboek!C134</f>
        <v>-</v>
      </c>
      <c r="I6" s="9" t="str">
        <f>Logboek!C162</f>
        <v>-</v>
      </c>
      <c r="J6" s="9" t="str">
        <f>Logboek!C190</f>
        <v>-</v>
      </c>
      <c r="K6" s="10" t="str">
        <f>Logboek!C218</f>
        <v>-</v>
      </c>
    </row>
    <row r="7" spans="1:11" ht="14.25" customHeight="1" x14ac:dyDescent="0.2">
      <c r="A7" s="11" t="s">
        <v>16</v>
      </c>
      <c r="B7" s="12">
        <f>SUM(B2:B6)</f>
        <v>18</v>
      </c>
      <c r="C7" s="12">
        <f>SUM(D6:K7)</f>
        <v>4</v>
      </c>
      <c r="D7" s="13">
        <f t="shared" ref="D7:K7" si="0">COUNTIF(D2:D6, "V")</f>
        <v>0</v>
      </c>
      <c r="E7" s="13">
        <f t="shared" si="0"/>
        <v>4</v>
      </c>
      <c r="F7" s="13">
        <f t="shared" si="0"/>
        <v>0</v>
      </c>
      <c r="G7" s="13">
        <f t="shared" si="0"/>
        <v>0</v>
      </c>
      <c r="H7" s="13">
        <f t="shared" si="0"/>
        <v>0</v>
      </c>
      <c r="I7" s="13">
        <f t="shared" si="0"/>
        <v>0</v>
      </c>
      <c r="J7" s="13">
        <f t="shared" si="0"/>
        <v>0</v>
      </c>
      <c r="K7" s="14">
        <f t="shared" si="0"/>
        <v>0</v>
      </c>
    </row>
    <row r="9" spans="1:11" x14ac:dyDescent="0.2">
      <c r="A9" s="101" t="s">
        <v>63</v>
      </c>
      <c r="B9" s="105" t="s">
        <v>64</v>
      </c>
      <c r="C9" s="105"/>
      <c r="D9" s="105"/>
      <c r="E9" s="105"/>
      <c r="F9" s="105"/>
      <c r="G9" s="105"/>
      <c r="H9" s="105"/>
      <c r="I9" s="105"/>
      <c r="J9" s="105"/>
      <c r="K9" s="105"/>
    </row>
  </sheetData>
  <mergeCells count="1">
    <mergeCell ref="B9:K9"/>
  </mergeCells>
  <hyperlinks>
    <hyperlink ref="D1" location="Logboek!A1" display="Sprint 1" xr:uid="{00000000-0004-0000-0000-000000000000}"/>
    <hyperlink ref="E1" location="Logboek!A29" display="Sprint 2" xr:uid="{00000000-0004-0000-0000-000001000000}"/>
    <hyperlink ref="F1" location="Logboek!A57" display="Sprint 3" xr:uid="{00000000-0004-0000-0000-000002000000}"/>
    <hyperlink ref="G1" location="Logboek!A85" display="Sprint 4" xr:uid="{00000000-0004-0000-0000-000003000000}"/>
    <hyperlink ref="H1" location="Logboek!A113" display="Sprint 5" xr:uid="{00000000-0004-0000-0000-000004000000}"/>
    <hyperlink ref="I1" location="Logboek!A141" display="Sprint 6" xr:uid="{00000000-0004-0000-0000-000005000000}"/>
    <hyperlink ref="J1" location="Logboek!A169" display="Sprint 7" xr:uid="{00000000-0004-0000-0000-000006000000}"/>
    <hyperlink ref="K1" location="Logboek!A197" display="Sprint 8" xr:uid="{00000000-0004-0000-0000-000007000000}"/>
  </hyperlinks>
  <pageMargins left="0.7" right="0.7" top="0.75" bottom="0.75" header="0.511811023622047" footer="0.511811023622047"/>
  <pageSetup paperSize="9" orientation="portrait" horizontalDpi="300" verticalDpi="30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23"/>
  <sheetViews>
    <sheetView tabSelected="1" topLeftCell="A36" zoomScale="89" zoomScaleNormal="89" workbookViewId="0">
      <selection activeCell="C36" sqref="C36"/>
    </sheetView>
  </sheetViews>
  <sheetFormatPr baseColWidth="10" defaultColWidth="50.6640625" defaultRowHeight="15" outlineLevelRow="1" x14ac:dyDescent="0.2"/>
  <cols>
    <col min="1" max="1" width="9.5" customWidth="1"/>
    <col min="2" max="4" width="50.6640625" customWidth="1"/>
  </cols>
  <sheetData>
    <row r="1" spans="1:4" ht="18" thickBot="1" x14ac:dyDescent="0.25">
      <c r="A1" s="104" t="s">
        <v>17</v>
      </c>
      <c r="B1" s="104"/>
      <c r="C1" s="104"/>
      <c r="D1" s="104"/>
    </row>
    <row r="2" spans="1:4" outlineLevel="1" x14ac:dyDescent="0.2">
      <c r="A2" s="15"/>
      <c r="B2" s="15"/>
      <c r="C2" s="15"/>
      <c r="D2" s="15"/>
    </row>
    <row r="3" spans="1:4" ht="16" outlineLevel="1" thickBot="1" x14ac:dyDescent="0.25">
      <c r="A3" s="16" t="s">
        <v>61</v>
      </c>
      <c r="B3" s="16"/>
      <c r="C3" s="67"/>
      <c r="D3" s="67" t="s">
        <v>62</v>
      </c>
    </row>
    <row r="4" spans="1:4" outlineLevel="1" x14ac:dyDescent="0.2">
      <c r="A4" s="17" t="s">
        <v>19</v>
      </c>
      <c r="B4" s="18" t="s">
        <v>20</v>
      </c>
      <c r="C4" s="18" t="s">
        <v>21</v>
      </c>
      <c r="D4" s="19" t="s">
        <v>22</v>
      </c>
    </row>
    <row r="5" spans="1:4" outlineLevel="1" x14ac:dyDescent="0.2">
      <c r="A5" s="20" t="s">
        <v>23</v>
      </c>
      <c r="B5" s="21"/>
      <c r="C5" s="21"/>
      <c r="D5" s="22"/>
    </row>
    <row r="6" spans="1:4" outlineLevel="1" x14ac:dyDescent="0.2">
      <c r="A6" s="20"/>
      <c r="B6" s="23"/>
      <c r="C6" s="21"/>
      <c r="D6" s="22"/>
    </row>
    <row r="7" spans="1:4" outlineLevel="1" x14ac:dyDescent="0.2">
      <c r="A7" s="20"/>
      <c r="B7" s="23"/>
      <c r="C7" s="21"/>
      <c r="D7" s="22"/>
    </row>
    <row r="8" spans="1:4" outlineLevel="1" x14ac:dyDescent="0.2">
      <c r="A8" s="20"/>
      <c r="B8" s="23"/>
      <c r="C8" s="21"/>
      <c r="D8" s="22"/>
    </row>
    <row r="9" spans="1:4" ht="16" outlineLevel="1" thickBot="1" x14ac:dyDescent="0.25">
      <c r="A9" s="24"/>
      <c r="B9" s="25"/>
      <c r="C9" s="26"/>
      <c r="D9" s="27"/>
    </row>
    <row r="10" spans="1:4" outlineLevel="1" x14ac:dyDescent="0.2">
      <c r="A10" s="15"/>
      <c r="B10" s="15"/>
      <c r="C10" s="15"/>
      <c r="D10" s="15"/>
    </row>
    <row r="11" spans="1:4" ht="16" outlineLevel="1" thickBot="1" x14ac:dyDescent="0.25">
      <c r="A11" s="16" t="s">
        <v>26</v>
      </c>
      <c r="B11" s="16"/>
      <c r="C11" s="16"/>
      <c r="D11" s="16"/>
    </row>
    <row r="12" spans="1:4" outlineLevel="1" x14ac:dyDescent="0.2">
      <c r="A12" s="17" t="s">
        <v>27</v>
      </c>
      <c r="B12" s="18" t="s">
        <v>28</v>
      </c>
      <c r="C12" s="99" t="s">
        <v>29</v>
      </c>
      <c r="D12" s="19" t="s">
        <v>30</v>
      </c>
    </row>
    <row r="13" spans="1:4" outlineLevel="1" x14ac:dyDescent="0.2">
      <c r="A13" s="28"/>
      <c r="B13" s="96"/>
      <c r="C13" s="31"/>
      <c r="D13" s="98"/>
    </row>
    <row r="14" spans="1:4" outlineLevel="1" x14ac:dyDescent="0.2">
      <c r="A14" s="68"/>
      <c r="B14" s="97"/>
      <c r="C14" s="31"/>
      <c r="D14" s="98"/>
    </row>
    <row r="15" spans="1:4" outlineLevel="1" x14ac:dyDescent="0.2">
      <c r="A15" s="72"/>
      <c r="B15" s="72"/>
      <c r="C15" s="72"/>
      <c r="D15" s="72"/>
    </row>
    <row r="16" spans="1:4" ht="16" outlineLevel="1" thickBot="1" x14ac:dyDescent="0.25">
      <c r="A16" s="71" t="s">
        <v>31</v>
      </c>
      <c r="B16" s="71"/>
      <c r="C16" s="71"/>
      <c r="D16" s="71"/>
    </row>
    <row r="17" spans="1:4" outlineLevel="1" x14ac:dyDescent="0.2">
      <c r="A17" s="17" t="s">
        <v>0</v>
      </c>
      <c r="B17" s="18" t="s">
        <v>32</v>
      </c>
      <c r="C17" s="18" t="s">
        <v>33</v>
      </c>
      <c r="D17" s="19" t="s">
        <v>34</v>
      </c>
    </row>
    <row r="18" spans="1:4" outlineLevel="1" x14ac:dyDescent="0.2">
      <c r="A18" s="30" t="s">
        <v>35</v>
      </c>
      <c r="B18" s="31" t="s">
        <v>36</v>
      </c>
      <c r="C18" s="32" t="s">
        <v>37</v>
      </c>
      <c r="D18" s="22"/>
    </row>
    <row r="19" spans="1:4" ht="29" outlineLevel="1" x14ac:dyDescent="0.2">
      <c r="A19" s="30" t="s">
        <v>38</v>
      </c>
      <c r="B19" s="31" t="s">
        <v>39</v>
      </c>
      <c r="C19" s="32" t="s">
        <v>37</v>
      </c>
      <c r="D19" s="22"/>
    </row>
    <row r="20" spans="1:4" outlineLevel="1" x14ac:dyDescent="0.2">
      <c r="A20" s="30" t="s">
        <v>40</v>
      </c>
      <c r="B20" s="31" t="s">
        <v>41</v>
      </c>
      <c r="C20" s="32" t="s">
        <v>37</v>
      </c>
      <c r="D20" s="22"/>
    </row>
    <row r="21" spans="1:4" outlineLevel="1" x14ac:dyDescent="0.2">
      <c r="A21" s="30" t="s">
        <v>42</v>
      </c>
      <c r="B21" s="31" t="s">
        <v>43</v>
      </c>
      <c r="C21" s="32" t="s">
        <v>37</v>
      </c>
      <c r="D21" s="22"/>
    </row>
    <row r="22" spans="1:4" ht="16" outlineLevel="1" thickBot="1" x14ac:dyDescent="0.25">
      <c r="A22" s="29" t="s">
        <v>44</v>
      </c>
      <c r="B22" s="33" t="s">
        <v>45</v>
      </c>
      <c r="C22" s="34" t="s">
        <v>37</v>
      </c>
      <c r="D22" s="27"/>
    </row>
    <row r="23" spans="1:4" outlineLevel="1" x14ac:dyDescent="0.2">
      <c r="A23" s="15"/>
      <c r="B23" s="35"/>
      <c r="C23" s="36"/>
      <c r="D23" s="36"/>
    </row>
    <row r="24" spans="1:4" ht="16" outlineLevel="1" thickBot="1" x14ac:dyDescent="0.25">
      <c r="A24" s="16" t="s">
        <v>46</v>
      </c>
      <c r="B24" s="37"/>
      <c r="C24" s="38"/>
      <c r="D24" s="38"/>
    </row>
    <row r="25" spans="1:4" outlineLevel="1" x14ac:dyDescent="0.2">
      <c r="A25" s="17" t="s">
        <v>27</v>
      </c>
      <c r="B25" s="39" t="s">
        <v>47</v>
      </c>
      <c r="C25" s="40" t="s">
        <v>48</v>
      </c>
      <c r="D25" s="19" t="s">
        <v>49</v>
      </c>
    </row>
    <row r="26" spans="1:4" outlineLevel="1" x14ac:dyDescent="0.2">
      <c r="A26" s="28"/>
      <c r="B26" s="21"/>
      <c r="C26" s="100"/>
      <c r="D26" s="100"/>
    </row>
    <row r="27" spans="1:4" outlineLevel="1" x14ac:dyDescent="0.2">
      <c r="A27" s="73"/>
      <c r="B27" s="74"/>
      <c r="C27" s="100"/>
      <c r="D27" s="100"/>
    </row>
    <row r="28" spans="1:4" x14ac:dyDescent="0.2">
      <c r="A28" s="72"/>
      <c r="B28" s="72"/>
      <c r="C28" s="72"/>
      <c r="D28" s="72"/>
    </row>
    <row r="29" spans="1:4" ht="18" thickBot="1" x14ac:dyDescent="0.25">
      <c r="A29" s="102" t="s">
        <v>50</v>
      </c>
      <c r="B29" s="102"/>
      <c r="C29" s="102"/>
      <c r="D29" s="102"/>
    </row>
    <row r="30" spans="1:4" outlineLevel="1" x14ac:dyDescent="0.2">
      <c r="A30" s="41"/>
      <c r="B30" s="41"/>
      <c r="C30" s="41"/>
      <c r="D30" s="41"/>
    </row>
    <row r="31" spans="1:4" outlineLevel="1" x14ac:dyDescent="0.2">
      <c r="A31" s="42" t="s">
        <v>18</v>
      </c>
      <c r="B31" s="42"/>
      <c r="C31" s="42"/>
      <c r="D31" s="67" t="s">
        <v>62</v>
      </c>
    </row>
    <row r="32" spans="1:4" outlineLevel="1" x14ac:dyDescent="0.2">
      <c r="A32" s="43" t="s">
        <v>19</v>
      </c>
      <c r="B32" s="44" t="s">
        <v>20</v>
      </c>
      <c r="C32" s="44" t="s">
        <v>21</v>
      </c>
      <c r="D32" s="45" t="s">
        <v>22</v>
      </c>
    </row>
    <row r="33" spans="1:4" ht="155" outlineLevel="1" x14ac:dyDescent="0.2">
      <c r="A33" s="46" t="s">
        <v>23</v>
      </c>
      <c r="B33" s="47" t="s">
        <v>65</v>
      </c>
      <c r="C33" s="48" t="s">
        <v>66</v>
      </c>
      <c r="D33" s="49" t="s">
        <v>67</v>
      </c>
    </row>
    <row r="34" spans="1:4" ht="155" outlineLevel="1" x14ac:dyDescent="0.2">
      <c r="A34" s="46"/>
      <c r="B34" s="47" t="s">
        <v>68</v>
      </c>
      <c r="C34" s="48" t="s">
        <v>69</v>
      </c>
      <c r="D34" s="49" t="s">
        <v>70</v>
      </c>
    </row>
    <row r="35" spans="1:4" ht="141" outlineLevel="1" x14ac:dyDescent="0.2">
      <c r="A35" s="46"/>
      <c r="B35" s="47" t="s">
        <v>74</v>
      </c>
      <c r="C35" s="48" t="s">
        <v>75</v>
      </c>
      <c r="D35" s="49" t="s">
        <v>76</v>
      </c>
    </row>
    <row r="36" spans="1:4" ht="141" outlineLevel="1" x14ac:dyDescent="0.2">
      <c r="A36" s="46"/>
      <c r="B36" s="47" t="s">
        <v>71</v>
      </c>
      <c r="C36" s="48" t="s">
        <v>72</v>
      </c>
      <c r="D36" s="49" t="s">
        <v>73</v>
      </c>
    </row>
    <row r="37" spans="1:4" ht="141" outlineLevel="1" x14ac:dyDescent="0.2">
      <c r="A37" s="50"/>
      <c r="B37" s="51" t="s">
        <v>77</v>
      </c>
      <c r="C37" s="52" t="s">
        <v>78</v>
      </c>
      <c r="D37" s="53" t="s">
        <v>79</v>
      </c>
    </row>
    <row r="38" spans="1:4" outlineLevel="1" x14ac:dyDescent="0.2">
      <c r="A38" s="41"/>
      <c r="B38" s="41"/>
      <c r="C38" s="41"/>
      <c r="D38" s="41"/>
    </row>
    <row r="39" spans="1:4" outlineLevel="1" x14ac:dyDescent="0.2">
      <c r="A39" s="42" t="s">
        <v>26</v>
      </c>
      <c r="B39" s="42"/>
      <c r="C39" s="42"/>
      <c r="D39" s="42"/>
    </row>
    <row r="40" spans="1:4" outlineLevel="1" x14ac:dyDescent="0.2">
      <c r="A40" s="43" t="s">
        <v>27</v>
      </c>
      <c r="B40" s="44" t="s">
        <v>28</v>
      </c>
      <c r="C40" s="44" t="s">
        <v>29</v>
      </c>
      <c r="D40" s="45" t="s">
        <v>30</v>
      </c>
    </row>
    <row r="41" spans="1:4" outlineLevel="1" x14ac:dyDescent="0.2">
      <c r="A41" s="54"/>
      <c r="B41" s="48"/>
      <c r="C41" s="48"/>
      <c r="D41" s="49"/>
    </row>
    <row r="42" spans="1:4" outlineLevel="1" x14ac:dyDescent="0.2">
      <c r="A42" s="75"/>
      <c r="B42" s="76"/>
      <c r="C42" s="76"/>
      <c r="D42" s="77"/>
    </row>
    <row r="43" spans="1:4" outlineLevel="1" x14ac:dyDescent="0.2">
      <c r="A43" s="85"/>
      <c r="B43" s="86"/>
      <c r="C43" s="86"/>
      <c r="D43" s="87"/>
    </row>
    <row r="44" spans="1:4" ht="16" outlineLevel="1" thickBot="1" x14ac:dyDescent="0.25">
      <c r="A44" s="78" t="s">
        <v>31</v>
      </c>
      <c r="B44" s="78"/>
      <c r="C44" s="78"/>
      <c r="D44" s="78"/>
    </row>
    <row r="45" spans="1:4" outlineLevel="1" x14ac:dyDescent="0.2">
      <c r="A45" s="43" t="s">
        <v>0</v>
      </c>
      <c r="B45" s="44" t="s">
        <v>32</v>
      </c>
      <c r="C45" s="44" t="s">
        <v>33</v>
      </c>
      <c r="D45" s="45" t="s">
        <v>34</v>
      </c>
    </row>
    <row r="46" spans="1:4" outlineLevel="1" x14ac:dyDescent="0.2">
      <c r="A46" s="56" t="s">
        <v>35</v>
      </c>
      <c r="B46" s="57" t="s">
        <v>36</v>
      </c>
      <c r="C46" s="58" t="s">
        <v>59</v>
      </c>
      <c r="D46" s="49" t="s">
        <v>81</v>
      </c>
    </row>
    <row r="47" spans="1:4" ht="29" outlineLevel="1" x14ac:dyDescent="0.2">
      <c r="A47" s="56" t="s">
        <v>38</v>
      </c>
      <c r="B47" s="57" t="s">
        <v>39</v>
      </c>
      <c r="C47" s="58" t="s">
        <v>59</v>
      </c>
      <c r="D47" s="49" t="s">
        <v>80</v>
      </c>
    </row>
    <row r="48" spans="1:4" outlineLevel="1" x14ac:dyDescent="0.2">
      <c r="A48" s="56" t="s">
        <v>40</v>
      </c>
      <c r="B48" s="57" t="s">
        <v>41</v>
      </c>
      <c r="C48" s="58" t="s">
        <v>37</v>
      </c>
      <c r="D48" s="49"/>
    </row>
    <row r="49" spans="1:4" outlineLevel="1" x14ac:dyDescent="0.2">
      <c r="A49" s="56" t="s">
        <v>42</v>
      </c>
      <c r="B49" s="57" t="s">
        <v>43</v>
      </c>
      <c r="C49" s="58" t="s">
        <v>59</v>
      </c>
      <c r="D49" s="49" t="s">
        <v>82</v>
      </c>
    </row>
    <row r="50" spans="1:4" ht="16" outlineLevel="1" thickBot="1" x14ac:dyDescent="0.25">
      <c r="A50" s="55" t="s">
        <v>44</v>
      </c>
      <c r="B50" s="59" t="s">
        <v>45</v>
      </c>
      <c r="C50" s="60" t="s">
        <v>59</v>
      </c>
      <c r="D50" s="53" t="s">
        <v>83</v>
      </c>
    </row>
    <row r="51" spans="1:4" outlineLevel="1" x14ac:dyDescent="0.2">
      <c r="A51" s="41"/>
      <c r="B51" s="61"/>
      <c r="C51" s="62"/>
      <c r="D51" s="62"/>
    </row>
    <row r="52" spans="1:4" outlineLevel="1" x14ac:dyDescent="0.2">
      <c r="A52" s="42" t="s">
        <v>46</v>
      </c>
      <c r="B52" s="63"/>
      <c r="C52" s="64"/>
      <c r="D52" s="64"/>
    </row>
    <row r="53" spans="1:4" outlineLevel="1" x14ac:dyDescent="0.2">
      <c r="A53" s="43" t="s">
        <v>27</v>
      </c>
      <c r="B53" s="65" t="s">
        <v>47</v>
      </c>
      <c r="C53" s="66" t="s">
        <v>48</v>
      </c>
      <c r="D53" s="45" t="s">
        <v>49</v>
      </c>
    </row>
    <row r="54" spans="1:4" outlineLevel="1" x14ac:dyDescent="0.2">
      <c r="A54" s="54"/>
      <c r="B54" s="48"/>
      <c r="C54" s="48"/>
      <c r="D54" s="49"/>
    </row>
    <row r="55" spans="1:4" outlineLevel="1" x14ac:dyDescent="0.2">
      <c r="A55" s="79"/>
      <c r="B55" s="80"/>
      <c r="C55" s="76"/>
      <c r="D55" s="77"/>
    </row>
    <row r="56" spans="1:4" x14ac:dyDescent="0.2">
      <c r="A56" s="85"/>
      <c r="B56" s="86"/>
      <c r="C56" s="86"/>
      <c r="D56" s="87"/>
    </row>
    <row r="57" spans="1:4" ht="18" thickBot="1" x14ac:dyDescent="0.25">
      <c r="A57" s="103" t="s">
        <v>51</v>
      </c>
      <c r="B57" s="103"/>
      <c r="C57" s="103"/>
      <c r="D57" s="103"/>
    </row>
    <row r="58" spans="1:4" outlineLevel="1" x14ac:dyDescent="0.2">
      <c r="A58" s="15"/>
      <c r="B58" s="15"/>
      <c r="C58" s="15"/>
      <c r="D58" s="15"/>
    </row>
    <row r="59" spans="1:4" outlineLevel="1" x14ac:dyDescent="0.2">
      <c r="A59" s="16" t="s">
        <v>18</v>
      </c>
      <c r="B59" s="16"/>
      <c r="C59" s="16"/>
      <c r="D59" s="67" t="s">
        <v>62</v>
      </c>
    </row>
    <row r="60" spans="1:4" outlineLevel="1" x14ac:dyDescent="0.2">
      <c r="A60" s="17" t="s">
        <v>19</v>
      </c>
      <c r="B60" s="18" t="s">
        <v>20</v>
      </c>
      <c r="C60" s="18" t="s">
        <v>21</v>
      </c>
      <c r="D60" s="19" t="s">
        <v>22</v>
      </c>
    </row>
    <row r="61" spans="1:4" ht="43" outlineLevel="1" x14ac:dyDescent="0.2">
      <c r="A61" s="20" t="s">
        <v>23</v>
      </c>
      <c r="B61" s="23" t="s">
        <v>25</v>
      </c>
      <c r="C61" s="21" t="s">
        <v>24</v>
      </c>
      <c r="D61" s="22" t="s">
        <v>24</v>
      </c>
    </row>
    <row r="62" spans="1:4" ht="43" outlineLevel="1" x14ac:dyDescent="0.2">
      <c r="A62" s="20"/>
      <c r="B62" s="23" t="s">
        <v>25</v>
      </c>
      <c r="C62" s="21" t="s">
        <v>24</v>
      </c>
      <c r="D62" s="22" t="s">
        <v>24</v>
      </c>
    </row>
    <row r="63" spans="1:4" ht="43" outlineLevel="1" x14ac:dyDescent="0.2">
      <c r="A63" s="20"/>
      <c r="B63" s="23" t="s">
        <v>25</v>
      </c>
      <c r="C63" s="21" t="s">
        <v>24</v>
      </c>
      <c r="D63" s="22" t="s">
        <v>24</v>
      </c>
    </row>
    <row r="64" spans="1:4" ht="43" outlineLevel="1" x14ac:dyDescent="0.2">
      <c r="A64" s="20"/>
      <c r="B64" s="23" t="s">
        <v>25</v>
      </c>
      <c r="C64" s="21" t="s">
        <v>24</v>
      </c>
      <c r="D64" s="22" t="s">
        <v>24</v>
      </c>
    </row>
    <row r="65" spans="1:4" ht="43" outlineLevel="1" x14ac:dyDescent="0.2">
      <c r="A65" s="24"/>
      <c r="B65" s="25" t="s">
        <v>25</v>
      </c>
      <c r="C65" s="26" t="s">
        <v>24</v>
      </c>
      <c r="D65" s="27" t="s">
        <v>24</v>
      </c>
    </row>
    <row r="66" spans="1:4" outlineLevel="1" x14ac:dyDescent="0.2">
      <c r="A66" s="15"/>
      <c r="B66" s="15"/>
      <c r="C66" s="15"/>
      <c r="D66" s="15"/>
    </row>
    <row r="67" spans="1:4" outlineLevel="1" x14ac:dyDescent="0.2">
      <c r="A67" s="16" t="s">
        <v>26</v>
      </c>
      <c r="B67" s="16"/>
      <c r="C67" s="16"/>
      <c r="D67" s="16"/>
    </row>
    <row r="68" spans="1:4" outlineLevel="1" x14ac:dyDescent="0.2">
      <c r="A68" s="17" t="s">
        <v>27</v>
      </c>
      <c r="B68" s="18" t="s">
        <v>28</v>
      </c>
      <c r="C68" s="18" t="s">
        <v>29</v>
      </c>
      <c r="D68" s="19" t="s">
        <v>30</v>
      </c>
    </row>
    <row r="69" spans="1:4" outlineLevel="1" x14ac:dyDescent="0.2">
      <c r="A69" s="28"/>
      <c r="B69" s="21"/>
      <c r="C69" s="21"/>
      <c r="D69" s="22"/>
    </row>
    <row r="70" spans="1:4" outlineLevel="1" x14ac:dyDescent="0.2">
      <c r="A70" s="68"/>
      <c r="B70" s="69"/>
      <c r="C70" s="69"/>
      <c r="D70" s="70"/>
    </row>
    <row r="71" spans="1:4" outlineLevel="1" x14ac:dyDescent="0.2">
      <c r="A71" s="88"/>
      <c r="B71" s="72"/>
      <c r="C71" s="72"/>
      <c r="D71" s="89"/>
    </row>
    <row r="72" spans="1:4" ht="16" outlineLevel="1" thickBot="1" x14ac:dyDescent="0.25">
      <c r="A72" s="71" t="s">
        <v>31</v>
      </c>
      <c r="B72" s="71"/>
      <c r="C72" s="71"/>
      <c r="D72" s="71"/>
    </row>
    <row r="73" spans="1:4" outlineLevel="1" x14ac:dyDescent="0.2">
      <c r="A73" s="17" t="s">
        <v>0</v>
      </c>
      <c r="B73" s="18" t="s">
        <v>32</v>
      </c>
      <c r="C73" s="18" t="s">
        <v>33</v>
      </c>
      <c r="D73" s="19" t="s">
        <v>34</v>
      </c>
    </row>
    <row r="74" spans="1:4" outlineLevel="1" x14ac:dyDescent="0.2">
      <c r="A74" s="30" t="s">
        <v>35</v>
      </c>
      <c r="B74" s="31" t="s">
        <v>36</v>
      </c>
      <c r="C74" s="32" t="s">
        <v>37</v>
      </c>
      <c r="D74" s="22"/>
    </row>
    <row r="75" spans="1:4" ht="29" outlineLevel="1" x14ac:dyDescent="0.2">
      <c r="A75" s="30" t="s">
        <v>38</v>
      </c>
      <c r="B75" s="31" t="s">
        <v>39</v>
      </c>
      <c r="C75" s="32" t="s">
        <v>37</v>
      </c>
      <c r="D75" s="22"/>
    </row>
    <row r="76" spans="1:4" outlineLevel="1" x14ac:dyDescent="0.2">
      <c r="A76" s="30" t="s">
        <v>40</v>
      </c>
      <c r="B76" s="31" t="s">
        <v>41</v>
      </c>
      <c r="C76" s="32" t="s">
        <v>37</v>
      </c>
      <c r="D76" s="22"/>
    </row>
    <row r="77" spans="1:4" outlineLevel="1" x14ac:dyDescent="0.2">
      <c r="A77" s="30" t="s">
        <v>42</v>
      </c>
      <c r="B77" s="31" t="s">
        <v>43</v>
      </c>
      <c r="C77" s="32" t="s">
        <v>37</v>
      </c>
      <c r="D77" s="22"/>
    </row>
    <row r="78" spans="1:4" outlineLevel="1" x14ac:dyDescent="0.2">
      <c r="A78" s="29" t="s">
        <v>44</v>
      </c>
      <c r="B78" s="33" t="s">
        <v>45</v>
      </c>
      <c r="C78" s="34" t="s">
        <v>37</v>
      </c>
      <c r="D78" s="27"/>
    </row>
    <row r="79" spans="1:4" outlineLevel="1" x14ac:dyDescent="0.2">
      <c r="A79" s="15"/>
      <c r="B79" s="35"/>
      <c r="C79" s="36"/>
      <c r="D79" s="36"/>
    </row>
    <row r="80" spans="1:4" outlineLevel="1" x14ac:dyDescent="0.2">
      <c r="A80" s="16" t="s">
        <v>46</v>
      </c>
      <c r="B80" s="37"/>
      <c r="C80" s="38"/>
      <c r="D80" s="38"/>
    </row>
    <row r="81" spans="1:4" outlineLevel="1" x14ac:dyDescent="0.2">
      <c r="A81" s="17" t="s">
        <v>27</v>
      </c>
      <c r="B81" s="39" t="s">
        <v>47</v>
      </c>
      <c r="C81" s="40" t="s">
        <v>48</v>
      </c>
      <c r="D81" s="19" t="s">
        <v>49</v>
      </c>
    </row>
    <row r="82" spans="1:4" outlineLevel="1" x14ac:dyDescent="0.2">
      <c r="A82" s="28"/>
      <c r="B82" s="21"/>
      <c r="C82" s="100"/>
      <c r="D82" s="100"/>
    </row>
    <row r="83" spans="1:4" outlineLevel="1" x14ac:dyDescent="0.2">
      <c r="A83" s="73"/>
      <c r="B83" s="81"/>
      <c r="C83" s="100"/>
      <c r="D83" s="100"/>
    </row>
    <row r="84" spans="1:4" x14ac:dyDescent="0.2">
      <c r="A84" s="88"/>
      <c r="B84" s="72"/>
      <c r="C84" s="72"/>
      <c r="D84" s="89"/>
    </row>
    <row r="85" spans="1:4" ht="18" thickBot="1" x14ac:dyDescent="0.25">
      <c r="A85" s="102" t="s">
        <v>52</v>
      </c>
      <c r="B85" s="102"/>
      <c r="C85" s="102"/>
      <c r="D85" s="102"/>
    </row>
    <row r="86" spans="1:4" outlineLevel="1" x14ac:dyDescent="0.2">
      <c r="A86" s="41"/>
      <c r="B86" s="41"/>
      <c r="C86" s="41"/>
      <c r="D86" s="41"/>
    </row>
    <row r="87" spans="1:4" outlineLevel="1" x14ac:dyDescent="0.2">
      <c r="A87" s="42" t="s">
        <v>18</v>
      </c>
      <c r="B87" s="42"/>
      <c r="C87" s="42"/>
      <c r="D87" s="67" t="s">
        <v>62</v>
      </c>
    </row>
    <row r="88" spans="1:4" outlineLevel="1" x14ac:dyDescent="0.2">
      <c r="A88" s="43" t="s">
        <v>19</v>
      </c>
      <c r="B88" s="44" t="s">
        <v>20</v>
      </c>
      <c r="C88" s="44" t="s">
        <v>21</v>
      </c>
      <c r="D88" s="45" t="s">
        <v>22</v>
      </c>
    </row>
    <row r="89" spans="1:4" ht="43" outlineLevel="1" x14ac:dyDescent="0.2">
      <c r="A89" s="46" t="s">
        <v>23</v>
      </c>
      <c r="B89" s="47" t="s">
        <v>25</v>
      </c>
      <c r="C89" s="48" t="s">
        <v>24</v>
      </c>
      <c r="D89" s="49" t="s">
        <v>24</v>
      </c>
    </row>
    <row r="90" spans="1:4" ht="43" outlineLevel="1" x14ac:dyDescent="0.2">
      <c r="A90" s="46"/>
      <c r="B90" s="47" t="s">
        <v>25</v>
      </c>
      <c r="C90" s="48" t="s">
        <v>24</v>
      </c>
      <c r="D90" s="49" t="s">
        <v>24</v>
      </c>
    </row>
    <row r="91" spans="1:4" ht="43" outlineLevel="1" x14ac:dyDescent="0.2">
      <c r="A91" s="46"/>
      <c r="B91" s="47" t="s">
        <v>25</v>
      </c>
      <c r="C91" s="48" t="s">
        <v>24</v>
      </c>
      <c r="D91" s="49" t="s">
        <v>24</v>
      </c>
    </row>
    <row r="92" spans="1:4" ht="43" outlineLevel="1" x14ac:dyDescent="0.2">
      <c r="A92" s="46"/>
      <c r="B92" s="47" t="s">
        <v>25</v>
      </c>
      <c r="C92" s="48" t="s">
        <v>24</v>
      </c>
      <c r="D92" s="49" t="s">
        <v>24</v>
      </c>
    </row>
    <row r="93" spans="1:4" ht="43" outlineLevel="1" x14ac:dyDescent="0.2">
      <c r="A93" s="50"/>
      <c r="B93" s="51" t="s">
        <v>25</v>
      </c>
      <c r="C93" s="52" t="s">
        <v>24</v>
      </c>
      <c r="D93" s="53" t="s">
        <v>24</v>
      </c>
    </row>
    <row r="94" spans="1:4" outlineLevel="1" x14ac:dyDescent="0.2">
      <c r="A94" s="41"/>
      <c r="B94" s="41"/>
      <c r="C94" s="41"/>
      <c r="D94" s="41"/>
    </row>
    <row r="95" spans="1:4" outlineLevel="1" x14ac:dyDescent="0.2">
      <c r="A95" s="42" t="s">
        <v>26</v>
      </c>
      <c r="B95" s="42"/>
      <c r="C95" s="42"/>
      <c r="D95" s="42"/>
    </row>
    <row r="96" spans="1:4" outlineLevel="1" x14ac:dyDescent="0.2">
      <c r="A96" s="43" t="s">
        <v>27</v>
      </c>
      <c r="B96" s="44" t="s">
        <v>28</v>
      </c>
      <c r="C96" s="44" t="s">
        <v>29</v>
      </c>
      <c r="D96" s="45" t="s">
        <v>30</v>
      </c>
    </row>
    <row r="97" spans="1:4" outlineLevel="1" x14ac:dyDescent="0.2">
      <c r="A97" s="54"/>
      <c r="B97" s="48"/>
      <c r="C97" s="48"/>
      <c r="D97" s="49"/>
    </row>
    <row r="98" spans="1:4" outlineLevel="1" x14ac:dyDescent="0.2">
      <c r="A98" s="75"/>
      <c r="B98" s="76"/>
      <c r="C98" s="76"/>
      <c r="D98" s="77"/>
    </row>
    <row r="99" spans="1:4" outlineLevel="1" x14ac:dyDescent="0.2">
      <c r="A99" s="85"/>
      <c r="B99" s="86"/>
      <c r="C99" s="86"/>
      <c r="D99" s="87"/>
    </row>
    <row r="100" spans="1:4" ht="16" outlineLevel="1" thickBot="1" x14ac:dyDescent="0.25">
      <c r="A100" s="78" t="s">
        <v>31</v>
      </c>
      <c r="B100" s="78"/>
      <c r="C100" s="78"/>
      <c r="D100" s="78"/>
    </row>
    <row r="101" spans="1:4" outlineLevel="1" x14ac:dyDescent="0.2">
      <c r="A101" s="43" t="s">
        <v>0</v>
      </c>
      <c r="B101" s="44" t="s">
        <v>32</v>
      </c>
      <c r="C101" s="44" t="s">
        <v>33</v>
      </c>
      <c r="D101" s="45" t="s">
        <v>34</v>
      </c>
    </row>
    <row r="102" spans="1:4" outlineLevel="1" x14ac:dyDescent="0.2">
      <c r="A102" s="56" t="s">
        <v>35</v>
      </c>
      <c r="B102" s="57" t="s">
        <v>36</v>
      </c>
      <c r="C102" s="58" t="s">
        <v>37</v>
      </c>
      <c r="D102" s="49"/>
    </row>
    <row r="103" spans="1:4" ht="29" outlineLevel="1" x14ac:dyDescent="0.2">
      <c r="A103" s="56" t="s">
        <v>38</v>
      </c>
      <c r="B103" s="57" t="s">
        <v>39</v>
      </c>
      <c r="C103" s="58" t="s">
        <v>37</v>
      </c>
      <c r="D103" s="49"/>
    </row>
    <row r="104" spans="1:4" outlineLevel="1" x14ac:dyDescent="0.2">
      <c r="A104" s="56" t="s">
        <v>40</v>
      </c>
      <c r="B104" s="57" t="s">
        <v>41</v>
      </c>
      <c r="C104" s="58" t="s">
        <v>37</v>
      </c>
      <c r="D104" s="49"/>
    </row>
    <row r="105" spans="1:4" outlineLevel="1" x14ac:dyDescent="0.2">
      <c r="A105" s="56" t="s">
        <v>42</v>
      </c>
      <c r="B105" s="57" t="s">
        <v>43</v>
      </c>
      <c r="C105" s="58" t="s">
        <v>37</v>
      </c>
      <c r="D105" s="49"/>
    </row>
    <row r="106" spans="1:4" outlineLevel="1" x14ac:dyDescent="0.2">
      <c r="A106" s="55" t="s">
        <v>44</v>
      </c>
      <c r="B106" s="59" t="s">
        <v>45</v>
      </c>
      <c r="C106" s="60" t="s">
        <v>37</v>
      </c>
      <c r="D106" s="53"/>
    </row>
    <row r="107" spans="1:4" outlineLevel="1" x14ac:dyDescent="0.2">
      <c r="A107" s="41"/>
      <c r="B107" s="61"/>
      <c r="C107" s="62"/>
      <c r="D107" s="62"/>
    </row>
    <row r="108" spans="1:4" outlineLevel="1" x14ac:dyDescent="0.2">
      <c r="A108" s="42" t="s">
        <v>46</v>
      </c>
      <c r="B108" s="63"/>
      <c r="C108" s="64"/>
      <c r="D108" s="64"/>
    </row>
    <row r="109" spans="1:4" outlineLevel="1" x14ac:dyDescent="0.2">
      <c r="A109" s="43" t="s">
        <v>27</v>
      </c>
      <c r="B109" s="65" t="s">
        <v>47</v>
      </c>
      <c r="C109" s="66" t="s">
        <v>48</v>
      </c>
      <c r="D109" s="45" t="s">
        <v>49</v>
      </c>
    </row>
    <row r="110" spans="1:4" outlineLevel="1" x14ac:dyDescent="0.2">
      <c r="A110" s="54"/>
      <c r="B110" s="48"/>
      <c r="C110" s="48"/>
      <c r="D110" s="49"/>
    </row>
    <row r="111" spans="1:4" outlineLevel="1" x14ac:dyDescent="0.2">
      <c r="A111" s="79"/>
      <c r="B111" s="80"/>
      <c r="C111" s="76"/>
      <c r="D111" s="77"/>
    </row>
    <row r="112" spans="1:4" x14ac:dyDescent="0.2">
      <c r="A112" s="85"/>
      <c r="B112" s="86"/>
      <c r="C112" s="86"/>
      <c r="D112" s="87"/>
    </row>
    <row r="113" spans="1:4" ht="18" thickBot="1" x14ac:dyDescent="0.25">
      <c r="A113" s="103" t="s">
        <v>53</v>
      </c>
      <c r="B113" s="103"/>
      <c r="C113" s="103"/>
      <c r="D113" s="103"/>
    </row>
    <row r="114" spans="1:4" outlineLevel="1" x14ac:dyDescent="0.2">
      <c r="A114" s="15"/>
      <c r="B114" s="15"/>
      <c r="C114" s="15"/>
      <c r="D114" s="15"/>
    </row>
    <row r="115" spans="1:4" outlineLevel="1" x14ac:dyDescent="0.2">
      <c r="A115" s="16" t="s">
        <v>18</v>
      </c>
      <c r="B115" s="16"/>
      <c r="C115" s="16"/>
      <c r="D115" s="67" t="s">
        <v>62</v>
      </c>
    </row>
    <row r="116" spans="1:4" outlineLevel="1" x14ac:dyDescent="0.2">
      <c r="A116" s="17" t="s">
        <v>19</v>
      </c>
      <c r="B116" s="18" t="s">
        <v>20</v>
      </c>
      <c r="C116" s="18" t="s">
        <v>21</v>
      </c>
      <c r="D116" s="19" t="s">
        <v>22</v>
      </c>
    </row>
    <row r="117" spans="1:4" ht="43" outlineLevel="1" x14ac:dyDescent="0.2">
      <c r="A117" s="20" t="s">
        <v>23</v>
      </c>
      <c r="B117" s="23" t="s">
        <v>25</v>
      </c>
      <c r="C117" s="21" t="s">
        <v>24</v>
      </c>
      <c r="D117" s="22" t="s">
        <v>24</v>
      </c>
    </row>
    <row r="118" spans="1:4" ht="43" outlineLevel="1" x14ac:dyDescent="0.2">
      <c r="A118" s="20"/>
      <c r="B118" s="23" t="s">
        <v>25</v>
      </c>
      <c r="C118" s="21" t="s">
        <v>24</v>
      </c>
      <c r="D118" s="22" t="s">
        <v>24</v>
      </c>
    </row>
    <row r="119" spans="1:4" ht="43" outlineLevel="1" x14ac:dyDescent="0.2">
      <c r="A119" s="20"/>
      <c r="B119" s="23" t="s">
        <v>25</v>
      </c>
      <c r="C119" s="21" t="s">
        <v>24</v>
      </c>
      <c r="D119" s="22" t="s">
        <v>24</v>
      </c>
    </row>
    <row r="120" spans="1:4" ht="43" outlineLevel="1" x14ac:dyDescent="0.2">
      <c r="A120" s="20"/>
      <c r="B120" s="23" t="s">
        <v>25</v>
      </c>
      <c r="C120" s="21" t="s">
        <v>24</v>
      </c>
      <c r="D120" s="22" t="s">
        <v>24</v>
      </c>
    </row>
    <row r="121" spans="1:4" ht="43" outlineLevel="1" x14ac:dyDescent="0.2">
      <c r="A121" s="24"/>
      <c r="B121" s="25" t="s">
        <v>25</v>
      </c>
      <c r="C121" s="26" t="s">
        <v>24</v>
      </c>
      <c r="D121" s="27" t="s">
        <v>24</v>
      </c>
    </row>
    <row r="122" spans="1:4" outlineLevel="1" x14ac:dyDescent="0.2">
      <c r="A122" s="15"/>
      <c r="B122" s="15"/>
      <c r="C122" s="15"/>
      <c r="D122" s="15"/>
    </row>
    <row r="123" spans="1:4" outlineLevel="1" x14ac:dyDescent="0.2">
      <c r="A123" s="16" t="s">
        <v>26</v>
      </c>
      <c r="B123" s="16"/>
      <c r="C123" s="16"/>
      <c r="D123" s="16"/>
    </row>
    <row r="124" spans="1:4" outlineLevel="1" x14ac:dyDescent="0.2">
      <c r="A124" s="17" t="s">
        <v>27</v>
      </c>
      <c r="B124" s="18" t="s">
        <v>28</v>
      </c>
      <c r="C124" s="18" t="s">
        <v>29</v>
      </c>
      <c r="D124" s="19" t="s">
        <v>30</v>
      </c>
    </row>
    <row r="125" spans="1:4" outlineLevel="1" x14ac:dyDescent="0.2">
      <c r="A125" s="28"/>
      <c r="B125" s="21"/>
      <c r="C125" s="21"/>
      <c r="D125" s="22"/>
    </row>
    <row r="126" spans="1:4" outlineLevel="1" x14ac:dyDescent="0.2">
      <c r="A126" s="68"/>
      <c r="B126" s="69"/>
      <c r="C126" s="69"/>
      <c r="D126" s="70"/>
    </row>
    <row r="127" spans="1:4" outlineLevel="1" x14ac:dyDescent="0.2">
      <c r="A127" s="88"/>
      <c r="B127" s="72"/>
      <c r="C127" s="72"/>
      <c r="D127" s="89"/>
    </row>
    <row r="128" spans="1:4" ht="16" outlineLevel="1" thickBot="1" x14ac:dyDescent="0.25">
      <c r="A128" s="71" t="s">
        <v>31</v>
      </c>
      <c r="B128" s="71"/>
      <c r="C128" s="71"/>
      <c r="D128" s="71"/>
    </row>
    <row r="129" spans="1:4" outlineLevel="1" x14ac:dyDescent="0.2">
      <c r="A129" s="17" t="s">
        <v>0</v>
      </c>
      <c r="B129" s="18" t="s">
        <v>32</v>
      </c>
      <c r="C129" s="18" t="s">
        <v>33</v>
      </c>
      <c r="D129" s="19" t="s">
        <v>34</v>
      </c>
    </row>
    <row r="130" spans="1:4" outlineLevel="1" x14ac:dyDescent="0.2">
      <c r="A130" s="30" t="s">
        <v>35</v>
      </c>
      <c r="B130" s="31" t="s">
        <v>36</v>
      </c>
      <c r="C130" s="32" t="s">
        <v>37</v>
      </c>
      <c r="D130" s="22"/>
    </row>
    <row r="131" spans="1:4" ht="29" outlineLevel="1" x14ac:dyDescent="0.2">
      <c r="A131" s="30" t="s">
        <v>38</v>
      </c>
      <c r="B131" s="31" t="s">
        <v>39</v>
      </c>
      <c r="C131" s="32" t="s">
        <v>37</v>
      </c>
      <c r="D131" s="22"/>
    </row>
    <row r="132" spans="1:4" outlineLevel="1" x14ac:dyDescent="0.2">
      <c r="A132" s="30" t="s">
        <v>40</v>
      </c>
      <c r="B132" s="31" t="s">
        <v>41</v>
      </c>
      <c r="C132" s="32" t="s">
        <v>37</v>
      </c>
      <c r="D132" s="22"/>
    </row>
    <row r="133" spans="1:4" outlineLevel="1" x14ac:dyDescent="0.2">
      <c r="A133" s="30" t="s">
        <v>42</v>
      </c>
      <c r="B133" s="31" t="s">
        <v>43</v>
      </c>
      <c r="C133" s="32" t="s">
        <v>37</v>
      </c>
      <c r="D133" s="22"/>
    </row>
    <row r="134" spans="1:4" outlineLevel="1" x14ac:dyDescent="0.2">
      <c r="A134" s="29" t="s">
        <v>44</v>
      </c>
      <c r="B134" s="33" t="s">
        <v>45</v>
      </c>
      <c r="C134" s="34" t="s">
        <v>37</v>
      </c>
      <c r="D134" s="27"/>
    </row>
    <row r="135" spans="1:4" outlineLevel="1" x14ac:dyDescent="0.2">
      <c r="A135" s="15"/>
      <c r="B135" s="35"/>
      <c r="C135" s="36"/>
      <c r="D135" s="36"/>
    </row>
    <row r="136" spans="1:4" outlineLevel="1" x14ac:dyDescent="0.2">
      <c r="A136" s="16" t="s">
        <v>46</v>
      </c>
      <c r="B136" s="37"/>
      <c r="C136" s="38"/>
      <c r="D136" s="38"/>
    </row>
    <row r="137" spans="1:4" outlineLevel="1" x14ac:dyDescent="0.2">
      <c r="A137" s="17" t="s">
        <v>27</v>
      </c>
      <c r="B137" s="39" t="s">
        <v>47</v>
      </c>
      <c r="C137" s="40" t="s">
        <v>48</v>
      </c>
      <c r="D137" s="19" t="s">
        <v>49</v>
      </c>
    </row>
    <row r="138" spans="1:4" outlineLevel="1" x14ac:dyDescent="0.2">
      <c r="A138" s="28"/>
      <c r="B138" s="21"/>
      <c r="C138" s="100"/>
      <c r="D138" s="100"/>
    </row>
    <row r="139" spans="1:4" outlineLevel="1" x14ac:dyDescent="0.2">
      <c r="A139" s="73"/>
      <c r="B139" s="81"/>
      <c r="C139" s="100"/>
      <c r="D139" s="100"/>
    </row>
    <row r="140" spans="1:4" x14ac:dyDescent="0.2">
      <c r="A140" s="88"/>
      <c r="B140" s="72"/>
      <c r="C140" s="72"/>
      <c r="D140" s="89"/>
    </row>
    <row r="141" spans="1:4" ht="18" thickBot="1" x14ac:dyDescent="0.25">
      <c r="A141" s="102" t="s">
        <v>54</v>
      </c>
      <c r="B141" s="102"/>
      <c r="C141" s="102"/>
      <c r="D141" s="102"/>
    </row>
    <row r="142" spans="1:4" outlineLevel="1" x14ac:dyDescent="0.2">
      <c r="A142" s="41"/>
      <c r="B142" s="41"/>
      <c r="C142" s="41"/>
      <c r="D142" s="41"/>
    </row>
    <row r="143" spans="1:4" outlineLevel="1" x14ac:dyDescent="0.2">
      <c r="A143" s="42" t="s">
        <v>18</v>
      </c>
      <c r="B143" s="42"/>
      <c r="C143" s="42"/>
      <c r="D143" s="67" t="s">
        <v>62</v>
      </c>
    </row>
    <row r="144" spans="1:4" outlineLevel="1" x14ac:dyDescent="0.2">
      <c r="A144" s="43" t="s">
        <v>19</v>
      </c>
      <c r="B144" s="44" t="s">
        <v>20</v>
      </c>
      <c r="C144" s="44" t="s">
        <v>21</v>
      </c>
      <c r="D144" s="45" t="s">
        <v>22</v>
      </c>
    </row>
    <row r="145" spans="1:4" ht="43" outlineLevel="1" x14ac:dyDescent="0.2">
      <c r="A145" s="46" t="s">
        <v>23</v>
      </c>
      <c r="B145" s="47" t="s">
        <v>25</v>
      </c>
      <c r="C145" s="48" t="s">
        <v>24</v>
      </c>
      <c r="D145" s="49" t="s">
        <v>24</v>
      </c>
    </row>
    <row r="146" spans="1:4" ht="43" outlineLevel="1" x14ac:dyDescent="0.2">
      <c r="A146" s="46"/>
      <c r="B146" s="47" t="s">
        <v>25</v>
      </c>
      <c r="C146" s="48" t="s">
        <v>24</v>
      </c>
      <c r="D146" s="49" t="s">
        <v>24</v>
      </c>
    </row>
    <row r="147" spans="1:4" ht="43" outlineLevel="1" x14ac:dyDescent="0.2">
      <c r="A147" s="46"/>
      <c r="B147" s="47" t="s">
        <v>25</v>
      </c>
      <c r="C147" s="48" t="s">
        <v>24</v>
      </c>
      <c r="D147" s="49" t="s">
        <v>24</v>
      </c>
    </row>
    <row r="148" spans="1:4" ht="43" outlineLevel="1" x14ac:dyDescent="0.2">
      <c r="A148" s="46"/>
      <c r="B148" s="47" t="s">
        <v>25</v>
      </c>
      <c r="C148" s="48" t="s">
        <v>24</v>
      </c>
      <c r="D148" s="49" t="s">
        <v>24</v>
      </c>
    </row>
    <row r="149" spans="1:4" ht="43" outlineLevel="1" x14ac:dyDescent="0.2">
      <c r="A149" s="50"/>
      <c r="B149" s="51" t="s">
        <v>25</v>
      </c>
      <c r="C149" s="52" t="s">
        <v>24</v>
      </c>
      <c r="D149" s="53" t="s">
        <v>24</v>
      </c>
    </row>
    <row r="150" spans="1:4" outlineLevel="1" x14ac:dyDescent="0.2">
      <c r="A150" s="41"/>
      <c r="B150" s="41"/>
      <c r="C150" s="41"/>
      <c r="D150" s="41"/>
    </row>
    <row r="151" spans="1:4" outlineLevel="1" x14ac:dyDescent="0.2">
      <c r="A151" s="42" t="s">
        <v>26</v>
      </c>
      <c r="B151" s="42"/>
      <c r="C151" s="42"/>
      <c r="D151" s="42"/>
    </row>
    <row r="152" spans="1:4" outlineLevel="1" x14ac:dyDescent="0.2">
      <c r="A152" s="43" t="s">
        <v>27</v>
      </c>
      <c r="B152" s="44" t="s">
        <v>28</v>
      </c>
      <c r="C152" s="44" t="s">
        <v>29</v>
      </c>
      <c r="D152" s="45" t="s">
        <v>30</v>
      </c>
    </row>
    <row r="153" spans="1:4" outlineLevel="1" x14ac:dyDescent="0.2">
      <c r="A153" s="54"/>
      <c r="B153" s="48"/>
      <c r="C153" s="48"/>
      <c r="D153" s="49"/>
    </row>
    <row r="154" spans="1:4" outlineLevel="1" x14ac:dyDescent="0.2">
      <c r="A154" s="75"/>
      <c r="B154" s="76"/>
      <c r="C154" s="76"/>
      <c r="D154" s="77"/>
    </row>
    <row r="155" spans="1:4" outlineLevel="1" x14ac:dyDescent="0.2">
      <c r="A155" s="85"/>
      <c r="B155" s="86"/>
      <c r="C155" s="86"/>
      <c r="D155" s="87"/>
    </row>
    <row r="156" spans="1:4" outlineLevel="1" x14ac:dyDescent="0.2">
      <c r="A156" s="93" t="s">
        <v>31</v>
      </c>
      <c r="B156" s="94"/>
      <c r="C156" s="94"/>
      <c r="D156" s="95"/>
    </row>
    <row r="157" spans="1:4" outlineLevel="1" x14ac:dyDescent="0.2">
      <c r="A157" s="90" t="s">
        <v>0</v>
      </c>
      <c r="B157" s="91" t="s">
        <v>32</v>
      </c>
      <c r="C157" s="91" t="s">
        <v>33</v>
      </c>
      <c r="D157" s="92" t="s">
        <v>34</v>
      </c>
    </row>
    <row r="158" spans="1:4" outlineLevel="1" x14ac:dyDescent="0.2">
      <c r="A158" s="56" t="s">
        <v>35</v>
      </c>
      <c r="B158" s="57" t="s">
        <v>36</v>
      </c>
      <c r="C158" s="58" t="s">
        <v>37</v>
      </c>
      <c r="D158" s="49"/>
    </row>
    <row r="159" spans="1:4" ht="29" outlineLevel="1" x14ac:dyDescent="0.2">
      <c r="A159" s="56" t="s">
        <v>38</v>
      </c>
      <c r="B159" s="57" t="s">
        <v>39</v>
      </c>
      <c r="C159" s="58" t="s">
        <v>37</v>
      </c>
      <c r="D159" s="49"/>
    </row>
    <row r="160" spans="1:4" outlineLevel="1" x14ac:dyDescent="0.2">
      <c r="A160" s="56" t="s">
        <v>40</v>
      </c>
      <c r="B160" s="57" t="s">
        <v>41</v>
      </c>
      <c r="C160" s="58" t="s">
        <v>37</v>
      </c>
      <c r="D160" s="49"/>
    </row>
    <row r="161" spans="1:4" outlineLevel="1" x14ac:dyDescent="0.2">
      <c r="A161" s="56" t="s">
        <v>42</v>
      </c>
      <c r="B161" s="57" t="s">
        <v>43</v>
      </c>
      <c r="C161" s="58" t="s">
        <v>37</v>
      </c>
      <c r="D161" s="49"/>
    </row>
    <row r="162" spans="1:4" outlineLevel="1" x14ac:dyDescent="0.2">
      <c r="A162" s="55" t="s">
        <v>44</v>
      </c>
      <c r="B162" s="59" t="s">
        <v>45</v>
      </c>
      <c r="C162" s="60" t="s">
        <v>37</v>
      </c>
      <c r="D162" s="53"/>
    </row>
    <row r="163" spans="1:4" outlineLevel="1" x14ac:dyDescent="0.2">
      <c r="A163" s="41"/>
      <c r="B163" s="61"/>
      <c r="C163" s="62"/>
      <c r="D163" s="62"/>
    </row>
    <row r="164" spans="1:4" outlineLevel="1" x14ac:dyDescent="0.2">
      <c r="A164" s="42" t="s">
        <v>46</v>
      </c>
      <c r="B164" s="63"/>
      <c r="C164" s="64"/>
      <c r="D164" s="64"/>
    </row>
    <row r="165" spans="1:4" outlineLevel="1" x14ac:dyDescent="0.2">
      <c r="A165" s="43" t="s">
        <v>27</v>
      </c>
      <c r="B165" s="65" t="s">
        <v>47</v>
      </c>
      <c r="C165" s="66" t="s">
        <v>48</v>
      </c>
      <c r="D165" s="45" t="s">
        <v>49</v>
      </c>
    </row>
    <row r="166" spans="1:4" outlineLevel="1" x14ac:dyDescent="0.2">
      <c r="A166" s="54"/>
      <c r="B166" s="48"/>
      <c r="C166" s="48"/>
      <c r="D166" s="49"/>
    </row>
    <row r="167" spans="1:4" outlineLevel="1" x14ac:dyDescent="0.2">
      <c r="A167" s="79"/>
      <c r="B167" s="80"/>
      <c r="C167" s="76"/>
      <c r="D167" s="77"/>
    </row>
    <row r="168" spans="1:4" x14ac:dyDescent="0.2">
      <c r="A168" s="85"/>
      <c r="B168" s="86"/>
      <c r="C168" s="86"/>
      <c r="D168" s="87"/>
    </row>
    <row r="169" spans="1:4" ht="18" thickBot="1" x14ac:dyDescent="0.25">
      <c r="A169" s="103" t="s">
        <v>55</v>
      </c>
      <c r="B169" s="103"/>
      <c r="C169" s="103"/>
      <c r="D169" s="103"/>
    </row>
    <row r="170" spans="1:4" outlineLevel="1" x14ac:dyDescent="0.2">
      <c r="A170" s="15"/>
      <c r="B170" s="15"/>
      <c r="C170" s="15"/>
      <c r="D170" s="15"/>
    </row>
    <row r="171" spans="1:4" outlineLevel="1" x14ac:dyDescent="0.2">
      <c r="A171" s="16" t="s">
        <v>18</v>
      </c>
      <c r="B171" s="16"/>
      <c r="C171" s="16"/>
      <c r="D171" s="67" t="s">
        <v>62</v>
      </c>
    </row>
    <row r="172" spans="1:4" outlineLevel="1" x14ac:dyDescent="0.2">
      <c r="A172" s="17" t="s">
        <v>19</v>
      </c>
      <c r="B172" s="18" t="s">
        <v>20</v>
      </c>
      <c r="C172" s="18" t="s">
        <v>21</v>
      </c>
      <c r="D172" s="19" t="s">
        <v>22</v>
      </c>
    </row>
    <row r="173" spans="1:4" ht="43" outlineLevel="1" x14ac:dyDescent="0.2">
      <c r="A173" s="20" t="s">
        <v>23</v>
      </c>
      <c r="B173" s="23" t="s">
        <v>25</v>
      </c>
      <c r="C173" s="21" t="s">
        <v>24</v>
      </c>
      <c r="D173" s="22" t="s">
        <v>24</v>
      </c>
    </row>
    <row r="174" spans="1:4" ht="43" outlineLevel="1" x14ac:dyDescent="0.2">
      <c r="A174" s="20"/>
      <c r="B174" s="23" t="s">
        <v>25</v>
      </c>
      <c r="C174" s="21" t="s">
        <v>24</v>
      </c>
      <c r="D174" s="22" t="s">
        <v>24</v>
      </c>
    </row>
    <row r="175" spans="1:4" ht="43" outlineLevel="1" x14ac:dyDescent="0.2">
      <c r="A175" s="20"/>
      <c r="B175" s="23" t="s">
        <v>25</v>
      </c>
      <c r="C175" s="21" t="s">
        <v>24</v>
      </c>
      <c r="D175" s="22" t="s">
        <v>24</v>
      </c>
    </row>
    <row r="176" spans="1:4" ht="43" outlineLevel="1" x14ac:dyDescent="0.2">
      <c r="A176" s="20"/>
      <c r="B176" s="23" t="s">
        <v>25</v>
      </c>
      <c r="C176" s="21" t="s">
        <v>24</v>
      </c>
      <c r="D176" s="22" t="s">
        <v>24</v>
      </c>
    </row>
    <row r="177" spans="1:4" ht="43" outlineLevel="1" x14ac:dyDescent="0.2">
      <c r="A177" s="24"/>
      <c r="B177" s="25" t="s">
        <v>25</v>
      </c>
      <c r="C177" s="26" t="s">
        <v>24</v>
      </c>
      <c r="D177" s="27" t="s">
        <v>24</v>
      </c>
    </row>
    <row r="178" spans="1:4" outlineLevel="1" x14ac:dyDescent="0.2">
      <c r="A178" s="15"/>
      <c r="B178" s="15"/>
      <c r="C178" s="15"/>
      <c r="D178" s="15"/>
    </row>
    <row r="179" spans="1:4" outlineLevel="1" x14ac:dyDescent="0.2">
      <c r="A179" s="16" t="s">
        <v>26</v>
      </c>
      <c r="B179" s="16"/>
      <c r="C179" s="16"/>
      <c r="D179" s="16"/>
    </row>
    <row r="180" spans="1:4" outlineLevel="1" x14ac:dyDescent="0.2">
      <c r="A180" s="17" t="s">
        <v>27</v>
      </c>
      <c r="B180" s="18" t="s">
        <v>28</v>
      </c>
      <c r="C180" s="18" t="s">
        <v>29</v>
      </c>
      <c r="D180" s="19" t="s">
        <v>30</v>
      </c>
    </row>
    <row r="181" spans="1:4" outlineLevel="1" x14ac:dyDescent="0.2">
      <c r="A181" s="28"/>
      <c r="B181" s="21"/>
      <c r="C181" s="21"/>
      <c r="D181" s="22"/>
    </row>
    <row r="182" spans="1:4" outlineLevel="1" x14ac:dyDescent="0.2">
      <c r="A182" s="68"/>
      <c r="B182" s="69"/>
      <c r="C182" s="69"/>
      <c r="D182" s="70"/>
    </row>
    <row r="183" spans="1:4" outlineLevel="1" x14ac:dyDescent="0.2">
      <c r="A183" s="88"/>
      <c r="B183" s="72"/>
      <c r="C183" s="72"/>
      <c r="D183" s="89"/>
    </row>
    <row r="184" spans="1:4" ht="16" outlineLevel="1" thickBot="1" x14ac:dyDescent="0.25">
      <c r="A184" s="71" t="s">
        <v>31</v>
      </c>
      <c r="B184" s="71"/>
      <c r="C184" s="71"/>
      <c r="D184" s="71"/>
    </row>
    <row r="185" spans="1:4" outlineLevel="1" x14ac:dyDescent="0.2">
      <c r="A185" s="17" t="s">
        <v>0</v>
      </c>
      <c r="B185" s="18" t="s">
        <v>32</v>
      </c>
      <c r="C185" s="18" t="s">
        <v>33</v>
      </c>
      <c r="D185" s="19" t="s">
        <v>34</v>
      </c>
    </row>
    <row r="186" spans="1:4" outlineLevel="1" x14ac:dyDescent="0.2">
      <c r="A186" s="30" t="s">
        <v>35</v>
      </c>
      <c r="B186" s="31" t="s">
        <v>36</v>
      </c>
      <c r="C186" s="32" t="s">
        <v>37</v>
      </c>
      <c r="D186" s="22"/>
    </row>
    <row r="187" spans="1:4" ht="29" outlineLevel="1" x14ac:dyDescent="0.2">
      <c r="A187" s="30" t="s">
        <v>38</v>
      </c>
      <c r="B187" s="31" t="s">
        <v>39</v>
      </c>
      <c r="C187" s="32" t="s">
        <v>37</v>
      </c>
      <c r="D187" s="22"/>
    </row>
    <row r="188" spans="1:4" outlineLevel="1" x14ac:dyDescent="0.2">
      <c r="A188" s="30" t="s">
        <v>40</v>
      </c>
      <c r="B188" s="31" t="s">
        <v>41</v>
      </c>
      <c r="C188" s="32" t="s">
        <v>37</v>
      </c>
      <c r="D188" s="22"/>
    </row>
    <row r="189" spans="1:4" outlineLevel="1" x14ac:dyDescent="0.2">
      <c r="A189" s="30" t="s">
        <v>42</v>
      </c>
      <c r="B189" s="31" t="s">
        <v>43</v>
      </c>
      <c r="C189" s="32" t="s">
        <v>37</v>
      </c>
      <c r="D189" s="22"/>
    </row>
    <row r="190" spans="1:4" outlineLevel="1" x14ac:dyDescent="0.2">
      <c r="A190" s="29" t="s">
        <v>44</v>
      </c>
      <c r="B190" s="33" t="s">
        <v>45</v>
      </c>
      <c r="C190" s="34" t="s">
        <v>37</v>
      </c>
      <c r="D190" s="27"/>
    </row>
    <row r="191" spans="1:4" outlineLevel="1" x14ac:dyDescent="0.2">
      <c r="A191" s="15"/>
      <c r="B191" s="35"/>
      <c r="C191" s="36"/>
      <c r="D191" s="36"/>
    </row>
    <row r="192" spans="1:4" outlineLevel="1" x14ac:dyDescent="0.2">
      <c r="A192" s="16" t="s">
        <v>46</v>
      </c>
      <c r="B192" s="37"/>
      <c r="C192" s="38"/>
      <c r="D192" s="38"/>
    </row>
    <row r="193" spans="1:4" outlineLevel="1" x14ac:dyDescent="0.2">
      <c r="A193" s="17" t="s">
        <v>27</v>
      </c>
      <c r="B193" s="39" t="s">
        <v>47</v>
      </c>
      <c r="C193" s="40" t="s">
        <v>48</v>
      </c>
      <c r="D193" s="19" t="s">
        <v>49</v>
      </c>
    </row>
    <row r="194" spans="1:4" outlineLevel="1" x14ac:dyDescent="0.2">
      <c r="A194" s="28"/>
      <c r="B194" s="21"/>
      <c r="C194" s="100"/>
      <c r="D194" s="100"/>
    </row>
    <row r="195" spans="1:4" outlineLevel="1" x14ac:dyDescent="0.2">
      <c r="A195" s="73"/>
      <c r="B195" s="81"/>
      <c r="C195" s="100"/>
      <c r="D195" s="100"/>
    </row>
    <row r="196" spans="1:4" x14ac:dyDescent="0.2">
      <c r="A196" s="88"/>
      <c r="B196" s="72"/>
      <c r="C196" s="72"/>
      <c r="D196" s="89"/>
    </row>
    <row r="197" spans="1:4" ht="18" thickBot="1" x14ac:dyDescent="0.25">
      <c r="A197" s="102" t="s">
        <v>56</v>
      </c>
      <c r="B197" s="102"/>
      <c r="C197" s="102"/>
      <c r="D197" s="102"/>
    </row>
    <row r="198" spans="1:4" outlineLevel="1" x14ac:dyDescent="0.2">
      <c r="A198" s="41"/>
      <c r="B198" s="41"/>
      <c r="C198" s="41"/>
      <c r="D198" s="41"/>
    </row>
    <row r="199" spans="1:4" outlineLevel="1" x14ac:dyDescent="0.2">
      <c r="A199" s="42" t="s">
        <v>18</v>
      </c>
      <c r="B199" s="42"/>
      <c r="C199" s="42"/>
      <c r="D199" s="67" t="s">
        <v>62</v>
      </c>
    </row>
    <row r="200" spans="1:4" outlineLevel="1" x14ac:dyDescent="0.2">
      <c r="A200" s="43" t="s">
        <v>19</v>
      </c>
      <c r="B200" s="44" t="s">
        <v>20</v>
      </c>
      <c r="C200" s="44" t="s">
        <v>21</v>
      </c>
      <c r="D200" s="45" t="s">
        <v>22</v>
      </c>
    </row>
    <row r="201" spans="1:4" ht="43" outlineLevel="1" x14ac:dyDescent="0.2">
      <c r="A201" s="46" t="s">
        <v>23</v>
      </c>
      <c r="B201" s="47" t="s">
        <v>25</v>
      </c>
      <c r="C201" s="48" t="s">
        <v>24</v>
      </c>
      <c r="D201" s="49" t="s">
        <v>24</v>
      </c>
    </row>
    <row r="202" spans="1:4" ht="43" outlineLevel="1" x14ac:dyDescent="0.2">
      <c r="A202" s="46"/>
      <c r="B202" s="47" t="s">
        <v>25</v>
      </c>
      <c r="C202" s="48" t="s">
        <v>24</v>
      </c>
      <c r="D202" s="49" t="s">
        <v>24</v>
      </c>
    </row>
    <row r="203" spans="1:4" ht="43" outlineLevel="1" x14ac:dyDescent="0.2">
      <c r="A203" s="46"/>
      <c r="B203" s="47" t="s">
        <v>25</v>
      </c>
      <c r="C203" s="48" t="s">
        <v>24</v>
      </c>
      <c r="D203" s="49" t="s">
        <v>24</v>
      </c>
    </row>
    <row r="204" spans="1:4" ht="43" outlineLevel="1" x14ac:dyDescent="0.2">
      <c r="A204" s="46"/>
      <c r="B204" s="47" t="s">
        <v>25</v>
      </c>
      <c r="C204" s="48" t="s">
        <v>24</v>
      </c>
      <c r="D204" s="49" t="s">
        <v>24</v>
      </c>
    </row>
    <row r="205" spans="1:4" ht="43" outlineLevel="1" x14ac:dyDescent="0.2">
      <c r="A205" s="50"/>
      <c r="B205" s="51" t="s">
        <v>25</v>
      </c>
      <c r="C205" s="52" t="s">
        <v>24</v>
      </c>
      <c r="D205" s="53" t="s">
        <v>24</v>
      </c>
    </row>
    <row r="206" spans="1:4" outlineLevel="1" x14ac:dyDescent="0.2">
      <c r="A206" s="41"/>
      <c r="B206" s="41"/>
      <c r="C206" s="41"/>
      <c r="D206" s="41"/>
    </row>
    <row r="207" spans="1:4" outlineLevel="1" x14ac:dyDescent="0.2">
      <c r="A207" s="42" t="s">
        <v>26</v>
      </c>
      <c r="B207" s="42"/>
      <c r="C207" s="42"/>
      <c r="D207" s="42"/>
    </row>
    <row r="208" spans="1:4" outlineLevel="1" x14ac:dyDescent="0.2">
      <c r="A208" s="43" t="s">
        <v>27</v>
      </c>
      <c r="B208" s="44" t="s">
        <v>28</v>
      </c>
      <c r="C208" s="44" t="s">
        <v>29</v>
      </c>
      <c r="D208" s="45" t="s">
        <v>30</v>
      </c>
    </row>
    <row r="209" spans="1:4" outlineLevel="1" x14ac:dyDescent="0.2">
      <c r="A209" s="54"/>
      <c r="B209" s="48"/>
      <c r="C209" s="48"/>
      <c r="D209" s="49"/>
    </row>
    <row r="210" spans="1:4" outlineLevel="1" x14ac:dyDescent="0.2">
      <c r="A210" s="75"/>
      <c r="B210" s="76"/>
      <c r="C210" s="76"/>
      <c r="D210" s="77"/>
    </row>
    <row r="211" spans="1:4" outlineLevel="1" x14ac:dyDescent="0.2">
      <c r="A211" s="85"/>
      <c r="B211" s="86"/>
      <c r="C211" s="86"/>
      <c r="D211" s="87"/>
    </row>
    <row r="212" spans="1:4" ht="16" outlineLevel="1" thickBot="1" x14ac:dyDescent="0.25">
      <c r="A212" s="78" t="s">
        <v>31</v>
      </c>
      <c r="B212" s="78"/>
      <c r="C212" s="78"/>
      <c r="D212" s="78"/>
    </row>
    <row r="213" spans="1:4" outlineLevel="1" x14ac:dyDescent="0.2">
      <c r="A213" s="43" t="s">
        <v>0</v>
      </c>
      <c r="B213" s="44" t="s">
        <v>32</v>
      </c>
      <c r="C213" s="44" t="s">
        <v>33</v>
      </c>
      <c r="D213" s="45" t="s">
        <v>34</v>
      </c>
    </row>
    <row r="214" spans="1:4" outlineLevel="1" x14ac:dyDescent="0.2">
      <c r="A214" s="56" t="s">
        <v>35</v>
      </c>
      <c r="B214" s="57" t="s">
        <v>36</v>
      </c>
      <c r="C214" s="58" t="s">
        <v>37</v>
      </c>
      <c r="D214" s="49"/>
    </row>
    <row r="215" spans="1:4" ht="29" outlineLevel="1" x14ac:dyDescent="0.2">
      <c r="A215" s="56" t="s">
        <v>38</v>
      </c>
      <c r="B215" s="57" t="s">
        <v>39</v>
      </c>
      <c r="C215" s="58" t="s">
        <v>37</v>
      </c>
      <c r="D215" s="49"/>
    </row>
    <row r="216" spans="1:4" outlineLevel="1" x14ac:dyDescent="0.2">
      <c r="A216" s="56" t="s">
        <v>40</v>
      </c>
      <c r="B216" s="57" t="s">
        <v>41</v>
      </c>
      <c r="C216" s="58" t="s">
        <v>37</v>
      </c>
      <c r="D216" s="49"/>
    </row>
    <row r="217" spans="1:4" outlineLevel="1" x14ac:dyDescent="0.2">
      <c r="A217" s="56" t="s">
        <v>42</v>
      </c>
      <c r="B217" s="57" t="s">
        <v>43</v>
      </c>
      <c r="C217" s="58" t="s">
        <v>37</v>
      </c>
      <c r="D217" s="49"/>
    </row>
    <row r="218" spans="1:4" ht="16" outlineLevel="1" thickBot="1" x14ac:dyDescent="0.25">
      <c r="A218" s="55" t="s">
        <v>44</v>
      </c>
      <c r="B218" s="59" t="s">
        <v>45</v>
      </c>
      <c r="C218" s="60" t="s">
        <v>37</v>
      </c>
      <c r="D218" s="53"/>
    </row>
    <row r="219" spans="1:4" outlineLevel="1" x14ac:dyDescent="0.2">
      <c r="A219" s="41"/>
      <c r="B219" s="61"/>
      <c r="C219" s="62"/>
      <c r="D219" s="62"/>
    </row>
    <row r="220" spans="1:4" outlineLevel="1" x14ac:dyDescent="0.2">
      <c r="A220" s="42" t="s">
        <v>46</v>
      </c>
      <c r="B220" s="63"/>
      <c r="C220" s="64"/>
      <c r="D220" s="64"/>
    </row>
    <row r="221" spans="1:4" outlineLevel="1" x14ac:dyDescent="0.2">
      <c r="A221" s="43" t="s">
        <v>27</v>
      </c>
      <c r="B221" s="65" t="s">
        <v>47</v>
      </c>
      <c r="C221" s="66" t="s">
        <v>48</v>
      </c>
      <c r="D221" s="45" t="s">
        <v>49</v>
      </c>
    </row>
    <row r="222" spans="1:4" outlineLevel="1" x14ac:dyDescent="0.2">
      <c r="A222" s="75"/>
      <c r="B222" s="76"/>
      <c r="C222" s="82"/>
      <c r="D222" s="83"/>
    </row>
    <row r="223" spans="1:4" x14ac:dyDescent="0.2">
      <c r="A223" s="84"/>
      <c r="B223" s="84"/>
      <c r="C223" s="84"/>
      <c r="D223" s="84"/>
    </row>
  </sheetData>
  <mergeCells count="8">
    <mergeCell ref="A141:D141"/>
    <mergeCell ref="A169:D169"/>
    <mergeCell ref="A197:D197"/>
    <mergeCell ref="A1:D1"/>
    <mergeCell ref="A29:D29"/>
    <mergeCell ref="A57:D57"/>
    <mergeCell ref="A85:D85"/>
    <mergeCell ref="A113:D113"/>
  </mergeCells>
  <hyperlinks>
    <hyperlink ref="D3" r:id="rId1" xr:uid="{F564348C-B587-3243-9ED7-19E13A10BC07}"/>
    <hyperlink ref="D31" r:id="rId2" xr:uid="{A977C000-C0AE-3E47-865C-F32977D6A209}"/>
    <hyperlink ref="D59" r:id="rId3" xr:uid="{EEB91566-4339-AC4F-B2A7-BC2165E9167F}"/>
    <hyperlink ref="D87" r:id="rId4" xr:uid="{FBC6F062-9EBF-A343-8473-2489C9AD3AFA}"/>
    <hyperlink ref="D115" r:id="rId5" xr:uid="{717AA659-0F4C-FE40-9CAA-A35C19DE03B3}"/>
    <hyperlink ref="D143" r:id="rId6" xr:uid="{DB9A239D-ADF1-3440-9597-53E584478B7C}"/>
    <hyperlink ref="D171" r:id="rId7" xr:uid="{C1F94042-E623-174C-8B95-FDF1CE98F266}"/>
    <hyperlink ref="D199" r:id="rId8" xr:uid="{BAF917F9-CDF8-C54B-BCFA-A574A846D817}"/>
  </hyperlinks>
  <pageMargins left="0.7" right="0.7" top="0.75" bottom="0.75" header="0.511811023622047" footer="0.511811023622047"/>
  <pageSetup paperSize="9" orientation="portrait" horizontalDpi="300" verticalDpi="300" r:id="rId9"/>
  <tableParts count="32">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100-000000000000}">
          <x14:formula1>
            <xm:f>Lijsten!$A$1:$A$3</xm:f>
          </x14:formula1>
          <x14:formula2>
            <xm:f>0</xm:f>
          </x14:formula2>
          <xm:sqref>C18:C22 C46:C50 C74:C78 C102:C106 C130:C134 C158:C162 C186:C190 C214:C218</xm:sqref>
        </x14:dataValidation>
        <x14:dataValidation type="list" allowBlank="1" showInputMessage="1" showErrorMessage="1" xr:uid="{00000000-0002-0000-0100-000001000000}">
          <x14:formula1>
            <xm:f>Lijsten!$B$1:$B$4</xm:f>
          </x14:formula1>
          <x14:formula2>
            <xm:f>0</xm:f>
          </x14:formula2>
          <xm:sqref>A5:A9 A33:A37 A61:A65 A89:A93 A117:A121 A145:A149 A173:A177 A201:A205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3"/>
  <sheetViews>
    <sheetView zoomScaleNormal="100" workbookViewId="0"/>
  </sheetViews>
  <sheetFormatPr baseColWidth="10" defaultColWidth="8.6640625" defaultRowHeight="15" x14ac:dyDescent="0.2"/>
  <sheetData>
    <row r="1" spans="1:2" ht="14.25" customHeight="1" x14ac:dyDescent="0.2">
      <c r="A1" t="s">
        <v>37</v>
      </c>
      <c r="B1" t="s">
        <v>23</v>
      </c>
    </row>
    <row r="2" spans="1:2" ht="14.25" customHeight="1" x14ac:dyDescent="0.2">
      <c r="A2" t="s">
        <v>57</v>
      </c>
      <c r="B2" t="s">
        <v>58</v>
      </c>
    </row>
    <row r="3" spans="1:2" ht="14.25" customHeight="1" x14ac:dyDescent="0.2">
      <c r="A3" t="s">
        <v>59</v>
      </c>
      <c r="B3" t="s">
        <v>60</v>
      </c>
    </row>
  </sheetData>
  <pageMargins left="0.7" right="0.7" top="0.75" bottom="0.75" header="0.511811023622047" footer="0.511811023622047"/>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7a0a817-ed22-4d9d-897a-1687ea230e1f" xsi:nil="true"/>
    <lcf76f155ced4ddcb4097134ff3c332f xmlns="ee5b88d4-a2f0-4e08-a9a4-867fd79af010">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2751CA16B951342881103182431E377" ma:contentTypeVersion="11" ma:contentTypeDescription="Een nieuw document maken." ma:contentTypeScope="" ma:versionID="c2283c29d02559725af11724d8a5a725">
  <xsd:schema xmlns:xsd="http://www.w3.org/2001/XMLSchema" xmlns:xs="http://www.w3.org/2001/XMLSchema" xmlns:p="http://schemas.microsoft.com/office/2006/metadata/properties" xmlns:ns2="ee5b88d4-a2f0-4e08-a9a4-867fd79af010" xmlns:ns3="07a0a817-ed22-4d9d-897a-1687ea230e1f" targetNamespace="http://schemas.microsoft.com/office/2006/metadata/properties" ma:root="true" ma:fieldsID="4f535cd78c4f72d43c45425dcd17cf97" ns2:_="" ns3:_="">
    <xsd:import namespace="ee5b88d4-a2f0-4e08-a9a4-867fd79af010"/>
    <xsd:import namespace="07a0a817-ed22-4d9d-897a-1687ea230e1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e5b88d4-a2f0-4e08-a9a4-867fd79af01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Afbeeldingtags" ma:readOnly="false" ma:fieldId="{5cf76f15-5ced-4ddc-b409-7134ff3c332f}" ma:taxonomyMulti="true" ma:sspId="9115ee84-c194-4add-8ddb-ad54b768e1e2"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7a0a817-ed22-4d9d-897a-1687ea230e1f"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60ce171b-a7a6-4196-b362-e75860551965}" ma:internalName="TaxCatchAll" ma:showField="CatchAllData" ma:web="07a0a817-ed22-4d9d-897a-1687ea230e1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15E4BEE-F303-4B0F-99C9-45AC19406AA8}">
  <ds:schemaRefs>
    <ds:schemaRef ds:uri="http://schemas.microsoft.com/office/infopath/2007/PartnerControls"/>
    <ds:schemaRef ds:uri="http://schemas.microsoft.com/office/2006/metadata/properties"/>
    <ds:schemaRef ds:uri="http://www.w3.org/XML/1998/namespace"/>
    <ds:schemaRef ds:uri="http://schemas.microsoft.com/office/2006/documentManagement/types"/>
    <ds:schemaRef ds:uri="http://purl.org/dc/dcmitype/"/>
    <ds:schemaRef ds:uri="http://purl.org/dc/terms/"/>
    <ds:schemaRef ds:uri="http://purl.org/dc/elements/1.1/"/>
    <ds:schemaRef ds:uri="http://schemas.openxmlformats.org/package/2006/metadata/core-properties"/>
    <ds:schemaRef ds:uri="07a0a817-ed22-4d9d-897a-1687ea230e1f"/>
    <ds:schemaRef ds:uri="ee5b88d4-a2f0-4e08-a9a4-867fd79af010"/>
  </ds:schemaRefs>
</ds:datastoreItem>
</file>

<file path=customXml/itemProps2.xml><?xml version="1.0" encoding="utf-8"?>
<ds:datastoreItem xmlns:ds="http://schemas.openxmlformats.org/officeDocument/2006/customXml" ds:itemID="{CF8710CF-CA47-4A1A-99D8-4DA9DB4F346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e5b88d4-a2f0-4e08-a9a4-867fd79af010"/>
    <ds:schemaRef ds:uri="07a0a817-ed22-4d9d-897a-1687ea230e1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85FCC38-57F5-4156-BF0D-C9D7403B612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4" baseType="variant">
      <vt:variant>
        <vt:lpstr>Werkbladen</vt:lpstr>
      </vt:variant>
      <vt:variant>
        <vt:i4>3</vt:i4>
      </vt:variant>
      <vt:variant>
        <vt:lpstr>Benoemde bereiken</vt:lpstr>
      </vt:variant>
      <vt:variant>
        <vt:i4>1</vt:i4>
      </vt:variant>
    </vt:vector>
  </HeadingPairs>
  <TitlesOfParts>
    <vt:vector size="4" baseType="lpstr">
      <vt:lpstr>Dashboard</vt:lpstr>
      <vt:lpstr>Logboek</vt:lpstr>
      <vt:lpstr>Lijsten</vt:lpstr>
      <vt:lpstr>Logboek!Afdrukbereik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Gert van Hardeveld</dc:creator>
  <dc:description/>
  <cp:lastModifiedBy>julius.mildenberg@gmail.com</cp:lastModifiedBy>
  <cp:revision>0</cp:revision>
  <dcterms:created xsi:type="dcterms:W3CDTF">2026-02-03T10:30:46Z</dcterms:created>
  <dcterms:modified xsi:type="dcterms:W3CDTF">2026-09-30T13:35:26Z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0x01010082751CA16B951342881103182431E377</vt:lpwstr>
  </property>
  <property fmtid="{D5CDD505-2E9C-101B-9397-08002B2CF9AE}" pid="3" name="MediaServiceImageTags">
    <vt:lpwstr/>
  </property>
</Properties>
</file>